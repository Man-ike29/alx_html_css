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69DEB0E2-D1BC-47A8-83C4-9B31056488EE}" xr6:coauthVersionLast="47" xr6:coauthVersionMax="47" xr10:uidLastSave="{00000000-0000-0000-0000-000000000000}"/>
  <bookViews>
    <workbookView xWindow="-120" yWindow="-120" windowWidth="20730" windowHeight="11040" activeTab="2" xr2:uid="{B8B1AE0E-BE5A-4A22-83EE-1A8212B42CF3}"/>
  </bookViews>
  <sheets>
    <sheet name="Rev" sheetId="1" r:id="rId1"/>
    <sheet name="Exp" sheetId="2" r:id="rId2"/>
    <sheet name="Grant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3" l="1"/>
  <c r="G102" i="3"/>
  <c r="D102" i="3"/>
  <c r="F102" i="3" s="1"/>
  <c r="C102" i="3"/>
  <c r="I101" i="3"/>
  <c r="G101" i="3"/>
  <c r="F101" i="3"/>
  <c r="D101" i="3"/>
  <c r="C101" i="3"/>
  <c r="I100" i="3"/>
  <c r="G100" i="3"/>
  <c r="D100" i="3"/>
  <c r="F100" i="3" s="1"/>
  <c r="C100" i="3"/>
  <c r="I99" i="3"/>
  <c r="G99" i="3"/>
  <c r="F99" i="3"/>
  <c r="D99" i="3"/>
  <c r="C99" i="3"/>
  <c r="I98" i="3"/>
  <c r="G98" i="3"/>
  <c r="D98" i="3"/>
  <c r="F98" i="3" s="1"/>
  <c r="C98" i="3"/>
  <c r="I97" i="3"/>
  <c r="G97" i="3"/>
  <c r="D97" i="3"/>
  <c r="F97" i="3" s="1"/>
  <c r="C97" i="3"/>
  <c r="I96" i="3"/>
  <c r="G96" i="3"/>
  <c r="D96" i="3"/>
  <c r="F96" i="3" s="1"/>
  <c r="C96" i="3"/>
  <c r="I95" i="3"/>
  <c r="G95" i="3"/>
  <c r="D95" i="3"/>
  <c r="F95" i="3" s="1"/>
  <c r="C95" i="3"/>
  <c r="I94" i="3"/>
  <c r="G94" i="3"/>
  <c r="D94" i="3"/>
  <c r="F94" i="3" s="1"/>
  <c r="C94" i="3"/>
  <c r="I93" i="3"/>
  <c r="G93" i="3"/>
  <c r="F93" i="3"/>
  <c r="D93" i="3"/>
  <c r="C93" i="3"/>
  <c r="I92" i="3"/>
  <c r="G92" i="3"/>
  <c r="D92" i="3"/>
  <c r="F92" i="3" s="1"/>
  <c r="C92" i="3"/>
  <c r="I91" i="3"/>
  <c r="G91" i="3"/>
  <c r="F91" i="3"/>
  <c r="D91" i="3"/>
  <c r="C91" i="3"/>
  <c r="I90" i="3"/>
  <c r="G90" i="3"/>
  <c r="D90" i="3"/>
  <c r="F90" i="3" s="1"/>
  <c r="C90" i="3"/>
  <c r="I89" i="3"/>
  <c r="G89" i="3"/>
  <c r="D89" i="3"/>
  <c r="F89" i="3" s="1"/>
  <c r="C89" i="3"/>
  <c r="I88" i="3"/>
  <c r="G88" i="3"/>
  <c r="D88" i="3"/>
  <c r="F88" i="3" s="1"/>
  <c r="C88" i="3"/>
  <c r="I87" i="3"/>
  <c r="G87" i="3"/>
  <c r="D87" i="3"/>
  <c r="F87" i="3" s="1"/>
  <c r="C87" i="3"/>
  <c r="I86" i="3"/>
  <c r="G86" i="3"/>
  <c r="D86" i="3"/>
  <c r="F86" i="3" s="1"/>
  <c r="C86" i="3"/>
  <c r="I85" i="3"/>
  <c r="G85" i="3"/>
  <c r="F85" i="3"/>
  <c r="D85" i="3"/>
  <c r="C85" i="3"/>
  <c r="I84" i="3"/>
  <c r="G84" i="3"/>
  <c r="D84" i="3"/>
  <c r="F84" i="3" s="1"/>
  <c r="C84" i="3"/>
  <c r="I83" i="3"/>
  <c r="G83" i="3"/>
  <c r="F83" i="3"/>
  <c r="D83" i="3"/>
  <c r="C83" i="3"/>
  <c r="I82" i="3"/>
  <c r="G82" i="3"/>
  <c r="D82" i="3"/>
  <c r="F82" i="3" s="1"/>
  <c r="C82" i="3"/>
  <c r="I81" i="3"/>
  <c r="G81" i="3"/>
  <c r="D81" i="3"/>
  <c r="F81" i="3" s="1"/>
  <c r="C81" i="3"/>
  <c r="I80" i="3"/>
  <c r="G80" i="3"/>
  <c r="D80" i="3"/>
  <c r="F80" i="3" s="1"/>
  <c r="C80" i="3"/>
  <c r="I79" i="3"/>
  <c r="G79" i="3"/>
  <c r="D79" i="3"/>
  <c r="F79" i="3" s="1"/>
  <c r="C79" i="3"/>
  <c r="I78" i="3"/>
  <c r="G78" i="3"/>
  <c r="D78" i="3"/>
  <c r="F78" i="3" s="1"/>
  <c r="C78" i="3"/>
  <c r="I77" i="3"/>
  <c r="G77" i="3"/>
  <c r="F77" i="3"/>
  <c r="D77" i="3"/>
  <c r="C77" i="3"/>
  <c r="I76" i="3"/>
  <c r="G76" i="3"/>
  <c r="D76" i="3"/>
  <c r="F76" i="3" s="1"/>
  <c r="C76" i="3"/>
  <c r="I75" i="3"/>
  <c r="G75" i="3"/>
  <c r="F75" i="3"/>
  <c r="D75" i="3"/>
  <c r="C75" i="3"/>
  <c r="I74" i="3"/>
  <c r="G74" i="3"/>
  <c r="D74" i="3"/>
  <c r="F74" i="3" s="1"/>
  <c r="C74" i="3"/>
  <c r="I73" i="3"/>
  <c r="G73" i="3"/>
  <c r="D73" i="3"/>
  <c r="F73" i="3" s="1"/>
  <c r="C73" i="3"/>
  <c r="I72" i="3"/>
  <c r="G72" i="3"/>
  <c r="D72" i="3"/>
  <c r="F72" i="3" s="1"/>
  <c r="C72" i="3"/>
  <c r="I71" i="3"/>
  <c r="G71" i="3"/>
  <c r="D71" i="3"/>
  <c r="F71" i="3" s="1"/>
  <c r="C71" i="3"/>
  <c r="I70" i="3"/>
  <c r="G70" i="3"/>
  <c r="D70" i="3"/>
  <c r="F70" i="3" s="1"/>
  <c r="C70" i="3"/>
  <c r="I69" i="3"/>
  <c r="G69" i="3"/>
  <c r="F69" i="3"/>
  <c r="D69" i="3"/>
  <c r="C69" i="3"/>
  <c r="I68" i="3"/>
  <c r="G68" i="3"/>
  <c r="D68" i="3"/>
  <c r="F68" i="3" s="1"/>
  <c r="C68" i="3"/>
  <c r="I67" i="3"/>
  <c r="G67" i="3"/>
  <c r="F67" i="3"/>
  <c r="D67" i="3"/>
  <c r="C67" i="3"/>
  <c r="I66" i="3"/>
  <c r="G66" i="3"/>
  <c r="D66" i="3"/>
  <c r="F66" i="3" s="1"/>
  <c r="C66" i="3"/>
  <c r="I65" i="3"/>
  <c r="G65" i="3"/>
  <c r="D65" i="3"/>
  <c r="F65" i="3" s="1"/>
  <c r="C65" i="3"/>
  <c r="I64" i="3"/>
  <c r="G64" i="3"/>
  <c r="D64" i="3"/>
  <c r="F64" i="3" s="1"/>
  <c r="C64" i="3"/>
  <c r="I63" i="3"/>
  <c r="G63" i="3"/>
  <c r="D63" i="3"/>
  <c r="F63" i="3" s="1"/>
  <c r="C63" i="3"/>
  <c r="I62" i="3"/>
  <c r="G62" i="3"/>
  <c r="D62" i="3"/>
  <c r="F62" i="3" s="1"/>
  <c r="C62" i="3"/>
  <c r="I61" i="3"/>
  <c r="G61" i="3"/>
  <c r="F61" i="3"/>
  <c r="D61" i="3"/>
  <c r="C61" i="3"/>
  <c r="I60" i="3"/>
  <c r="G60" i="3"/>
  <c r="D60" i="3"/>
  <c r="F60" i="3" s="1"/>
  <c r="C60" i="3"/>
  <c r="I59" i="3"/>
  <c r="G59" i="3"/>
  <c r="F59" i="3"/>
  <c r="D59" i="3"/>
  <c r="C59" i="3"/>
  <c r="I58" i="3"/>
  <c r="G58" i="3"/>
  <c r="E58" i="3"/>
  <c r="D58" i="3"/>
  <c r="I57" i="3"/>
  <c r="G57" i="3"/>
  <c r="D57" i="3"/>
  <c r="F57" i="3" s="1"/>
  <c r="C57" i="3"/>
  <c r="I56" i="3"/>
  <c r="G56" i="3"/>
  <c r="F56" i="3"/>
  <c r="D56" i="3"/>
  <c r="C56" i="3"/>
  <c r="I55" i="3"/>
  <c r="G55" i="3"/>
  <c r="D55" i="3"/>
  <c r="F55" i="3" s="1"/>
  <c r="C55" i="3"/>
  <c r="I54" i="3"/>
  <c r="G54" i="3"/>
  <c r="F54" i="3"/>
  <c r="D54" i="3"/>
  <c r="C54" i="3"/>
  <c r="I53" i="3"/>
  <c r="G53" i="3"/>
  <c r="D53" i="3"/>
  <c r="F53" i="3" s="1"/>
  <c r="C53" i="3"/>
  <c r="I52" i="3"/>
  <c r="G52" i="3"/>
  <c r="D52" i="3"/>
  <c r="F52" i="3" s="1"/>
  <c r="C52" i="3"/>
  <c r="I51" i="3"/>
  <c r="G51" i="3"/>
  <c r="D51" i="3"/>
  <c r="F51" i="3" s="1"/>
  <c r="C51" i="3"/>
  <c r="I50" i="3"/>
  <c r="G50" i="3"/>
  <c r="D50" i="3"/>
  <c r="F50" i="3" s="1"/>
  <c r="C50" i="3"/>
  <c r="I49" i="3"/>
  <c r="G49" i="3"/>
  <c r="D49" i="3"/>
  <c r="F49" i="3" s="1"/>
  <c r="C49" i="3"/>
  <c r="I48" i="3"/>
  <c r="G48" i="3"/>
  <c r="F48" i="3"/>
  <c r="D48" i="3"/>
  <c r="C48" i="3"/>
  <c r="I47" i="3"/>
  <c r="G47" i="3"/>
  <c r="D47" i="3"/>
  <c r="F47" i="3" s="1"/>
  <c r="C47" i="3"/>
  <c r="I46" i="3"/>
  <c r="G46" i="3"/>
  <c r="F46" i="3"/>
  <c r="D46" i="3"/>
  <c r="C46" i="3"/>
  <c r="I45" i="3"/>
  <c r="G45" i="3"/>
  <c r="D45" i="3"/>
  <c r="F45" i="3" s="1"/>
  <c r="C45" i="3"/>
  <c r="I44" i="3"/>
  <c r="G44" i="3"/>
  <c r="D44" i="3"/>
  <c r="F44" i="3" s="1"/>
  <c r="C44" i="3"/>
  <c r="I43" i="3"/>
  <c r="G43" i="3"/>
  <c r="D43" i="3"/>
  <c r="F43" i="3" s="1"/>
  <c r="C43" i="3"/>
  <c r="I42" i="3"/>
  <c r="G42" i="3"/>
  <c r="D42" i="3"/>
  <c r="F42" i="3" s="1"/>
  <c r="C42" i="3"/>
  <c r="I41" i="3"/>
  <c r="G41" i="3"/>
  <c r="D41" i="3"/>
  <c r="F41" i="3" s="1"/>
  <c r="C41" i="3"/>
  <c r="I40" i="3"/>
  <c r="G40" i="3"/>
  <c r="F40" i="3"/>
  <c r="D40" i="3"/>
  <c r="C40" i="3"/>
  <c r="I39" i="3"/>
  <c r="G39" i="3"/>
  <c r="D39" i="3"/>
  <c r="F39" i="3" s="1"/>
  <c r="C39" i="3"/>
  <c r="I38" i="3"/>
  <c r="G38" i="3"/>
  <c r="F38" i="3"/>
  <c r="D38" i="3"/>
  <c r="C38" i="3"/>
  <c r="I37" i="3"/>
  <c r="G37" i="3"/>
  <c r="D37" i="3"/>
  <c r="F37" i="3" s="1"/>
  <c r="C37" i="3"/>
  <c r="I36" i="3"/>
  <c r="G36" i="3"/>
  <c r="D36" i="3"/>
  <c r="F36" i="3" s="1"/>
  <c r="C36" i="3"/>
  <c r="I35" i="3"/>
  <c r="G35" i="3"/>
  <c r="D35" i="3"/>
  <c r="F35" i="3" s="1"/>
  <c r="C35" i="3"/>
  <c r="I34" i="3"/>
  <c r="G34" i="3"/>
  <c r="D34" i="3"/>
  <c r="F34" i="3" s="1"/>
  <c r="C34" i="3"/>
  <c r="I33" i="3"/>
  <c r="G33" i="3"/>
  <c r="D33" i="3"/>
  <c r="F33" i="3" s="1"/>
  <c r="C33" i="3"/>
  <c r="I32" i="3"/>
  <c r="G32" i="3"/>
  <c r="F32" i="3"/>
  <c r="D32" i="3"/>
  <c r="C32" i="3"/>
  <c r="I31" i="3"/>
  <c r="G31" i="3"/>
  <c r="D31" i="3"/>
  <c r="F31" i="3" s="1"/>
  <c r="C31" i="3"/>
  <c r="I30" i="3"/>
  <c r="G30" i="3"/>
  <c r="F30" i="3"/>
  <c r="D30" i="3"/>
  <c r="C30" i="3"/>
  <c r="I29" i="3"/>
  <c r="G29" i="3"/>
  <c r="D29" i="3"/>
  <c r="F29" i="3" s="1"/>
  <c r="C29" i="3"/>
  <c r="I28" i="3"/>
  <c r="G28" i="3"/>
  <c r="D28" i="3"/>
  <c r="F28" i="3" s="1"/>
  <c r="C28" i="3"/>
  <c r="I27" i="3"/>
  <c r="G27" i="3"/>
  <c r="D27" i="3"/>
  <c r="F27" i="3" s="1"/>
  <c r="C27" i="3"/>
  <c r="I26" i="3"/>
  <c r="G26" i="3"/>
  <c r="D26" i="3"/>
  <c r="F26" i="3" s="1"/>
  <c r="C26" i="3"/>
  <c r="I25" i="3"/>
  <c r="G25" i="3"/>
  <c r="D25" i="3"/>
  <c r="F25" i="3" s="1"/>
  <c r="C25" i="3"/>
  <c r="I24" i="3"/>
  <c r="G24" i="3"/>
  <c r="F24" i="3"/>
  <c r="D24" i="3"/>
  <c r="C24" i="3"/>
  <c r="I23" i="3"/>
  <c r="G23" i="3"/>
  <c r="D23" i="3"/>
  <c r="F23" i="3" s="1"/>
  <c r="C23" i="3"/>
  <c r="I22" i="3"/>
  <c r="G22" i="3"/>
  <c r="F22" i="3"/>
  <c r="D22" i="3"/>
  <c r="C22" i="3"/>
  <c r="I21" i="3"/>
  <c r="G21" i="3"/>
  <c r="D21" i="3"/>
  <c r="F21" i="3" s="1"/>
  <c r="C21" i="3"/>
  <c r="I20" i="3"/>
  <c r="G20" i="3"/>
  <c r="D20" i="3"/>
  <c r="F20" i="3" s="1"/>
  <c r="C20" i="3"/>
  <c r="I19" i="3"/>
  <c r="G19" i="3"/>
  <c r="D19" i="3"/>
  <c r="F19" i="3" s="1"/>
  <c r="C19" i="3"/>
  <c r="I18" i="3"/>
  <c r="G18" i="3"/>
  <c r="D18" i="3"/>
  <c r="F18" i="3" s="1"/>
  <c r="C18" i="3"/>
  <c r="I17" i="3"/>
  <c r="G17" i="3"/>
  <c r="D17" i="3"/>
  <c r="F17" i="3" s="1"/>
  <c r="C17" i="3"/>
  <c r="I16" i="3"/>
  <c r="G16" i="3"/>
  <c r="F16" i="3"/>
  <c r="D16" i="3"/>
  <c r="C16" i="3"/>
  <c r="I15" i="3"/>
  <c r="G15" i="3"/>
  <c r="D15" i="3"/>
  <c r="F15" i="3" s="1"/>
  <c r="C15" i="3"/>
  <c r="I14" i="3"/>
  <c r="G14" i="3"/>
  <c r="F14" i="3"/>
  <c r="D14" i="3"/>
  <c r="C14" i="3"/>
  <c r="I13" i="3"/>
  <c r="G13" i="3"/>
  <c r="D13" i="3"/>
  <c r="F13" i="3" s="1"/>
  <c r="C13" i="3"/>
  <c r="I12" i="3"/>
  <c r="G12" i="3"/>
  <c r="D12" i="3"/>
  <c r="F12" i="3" s="1"/>
  <c r="C12" i="3"/>
  <c r="I11" i="3"/>
  <c r="G11" i="3"/>
  <c r="D11" i="3"/>
  <c r="F11" i="3" s="1"/>
  <c r="C11" i="3"/>
  <c r="I10" i="3"/>
  <c r="G10" i="3"/>
  <c r="D10" i="3"/>
  <c r="F10" i="3" s="1"/>
  <c r="C10" i="3"/>
  <c r="I9" i="3"/>
  <c r="G9" i="3"/>
  <c r="D9" i="3"/>
  <c r="F9" i="3" s="1"/>
  <c r="C9" i="3"/>
  <c r="I8" i="3"/>
  <c r="G8" i="3"/>
  <c r="F8" i="3"/>
  <c r="D8" i="3"/>
  <c r="C8" i="3"/>
  <c r="I7" i="3"/>
  <c r="G7" i="3"/>
  <c r="D7" i="3"/>
  <c r="F7" i="3" s="1"/>
  <c r="C7" i="3"/>
  <c r="I6" i="3"/>
  <c r="G6" i="3"/>
  <c r="F6" i="3"/>
  <c r="D6" i="3"/>
  <c r="C6" i="3"/>
  <c r="I5" i="3"/>
  <c r="G5" i="3"/>
  <c r="D5" i="3"/>
  <c r="F5" i="3" s="1"/>
  <c r="C5" i="3"/>
  <c r="I4" i="3"/>
  <c r="G4" i="3"/>
  <c r="D4" i="3"/>
  <c r="F4" i="3" s="1"/>
  <c r="C4" i="3"/>
  <c r="C3" i="3"/>
  <c r="C2" i="3"/>
  <c r="G90" i="2"/>
  <c r="E90" i="2"/>
  <c r="D90" i="2"/>
  <c r="C90" i="2"/>
  <c r="I89" i="2"/>
  <c r="G89" i="2"/>
  <c r="E89" i="2"/>
  <c r="D89" i="2"/>
  <c r="C89" i="2"/>
  <c r="I88" i="2"/>
  <c r="G88" i="2"/>
  <c r="E88" i="2"/>
  <c r="D88" i="2"/>
  <c r="C88" i="2"/>
  <c r="B88" i="2"/>
  <c r="G87" i="2"/>
  <c r="D87" i="2"/>
  <c r="C87" i="2"/>
  <c r="B87" i="2"/>
  <c r="G86" i="2"/>
  <c r="E86" i="2"/>
  <c r="D86" i="2"/>
  <c r="C86" i="2"/>
  <c r="I85" i="2"/>
  <c r="G85" i="2"/>
  <c r="E85" i="2"/>
  <c r="D85" i="2"/>
  <c r="C85" i="2"/>
  <c r="I84" i="2"/>
  <c r="G84" i="2"/>
  <c r="E84" i="2"/>
  <c r="D84" i="2"/>
  <c r="C84" i="2"/>
  <c r="B84" i="2"/>
  <c r="I83" i="2"/>
  <c r="G83" i="2"/>
  <c r="E83" i="2"/>
  <c r="D83" i="2"/>
  <c r="C83" i="2"/>
  <c r="B83" i="2"/>
  <c r="I82" i="2"/>
  <c r="G82" i="2"/>
  <c r="E82" i="2"/>
  <c r="D82" i="2"/>
  <c r="C82" i="2"/>
  <c r="I81" i="2"/>
  <c r="G81" i="2"/>
  <c r="E81" i="2"/>
  <c r="D81" i="2"/>
  <c r="C81" i="2"/>
  <c r="B81" i="2"/>
  <c r="I80" i="2"/>
  <c r="G80" i="2"/>
  <c r="E80" i="2"/>
  <c r="D80" i="2"/>
  <c r="C80" i="2"/>
  <c r="B80" i="2"/>
  <c r="I79" i="2"/>
  <c r="G79" i="2"/>
  <c r="E79" i="2"/>
  <c r="D79" i="2"/>
  <c r="C79" i="2"/>
  <c r="B79" i="2"/>
  <c r="I78" i="2"/>
  <c r="G78" i="2"/>
  <c r="E78" i="2"/>
  <c r="D78" i="2"/>
  <c r="C78" i="2"/>
  <c r="I77" i="2"/>
  <c r="G77" i="2"/>
  <c r="E77" i="2"/>
  <c r="D77" i="2"/>
  <c r="C77" i="2"/>
  <c r="I76" i="2"/>
  <c r="G76" i="2"/>
  <c r="E76" i="2"/>
  <c r="D76" i="2"/>
  <c r="C76" i="2"/>
  <c r="B76" i="2"/>
  <c r="I75" i="2"/>
  <c r="G75" i="2"/>
  <c r="E75" i="2"/>
  <c r="D75" i="2"/>
  <c r="C75" i="2"/>
  <c r="I74" i="2"/>
  <c r="G74" i="2"/>
  <c r="E74" i="2"/>
  <c r="D74" i="2"/>
  <c r="C74" i="2"/>
  <c r="I73" i="2"/>
  <c r="G73" i="2"/>
  <c r="E73" i="2"/>
  <c r="D73" i="2"/>
  <c r="C73" i="2"/>
  <c r="B73" i="2"/>
  <c r="I72" i="2"/>
  <c r="G72" i="2"/>
  <c r="E72" i="2"/>
  <c r="D72" i="2"/>
  <c r="C72" i="2"/>
  <c r="B72" i="2"/>
  <c r="I71" i="2"/>
  <c r="G71" i="2"/>
  <c r="E71" i="2"/>
  <c r="D71" i="2"/>
  <c r="C71" i="2"/>
  <c r="B71" i="2"/>
  <c r="I70" i="2"/>
  <c r="G70" i="2"/>
  <c r="E70" i="2"/>
  <c r="D70" i="2"/>
  <c r="C70" i="2"/>
  <c r="B70" i="2"/>
  <c r="I69" i="2"/>
  <c r="G69" i="2"/>
  <c r="E69" i="2"/>
  <c r="D69" i="2"/>
  <c r="C69" i="2"/>
  <c r="B69" i="2"/>
  <c r="I68" i="2"/>
  <c r="G68" i="2"/>
  <c r="E68" i="2"/>
  <c r="D68" i="2"/>
  <c r="C68" i="2"/>
  <c r="I67" i="2"/>
  <c r="G67" i="2"/>
  <c r="E67" i="2"/>
  <c r="D67" i="2"/>
  <c r="C67" i="2"/>
  <c r="I66" i="2"/>
  <c r="G66" i="2"/>
  <c r="E66" i="2"/>
  <c r="D66" i="2"/>
  <c r="C66" i="2"/>
  <c r="B66" i="2"/>
  <c r="I65" i="2"/>
  <c r="G65" i="2"/>
  <c r="E65" i="2"/>
  <c r="D65" i="2"/>
  <c r="C65" i="2"/>
  <c r="I64" i="2"/>
  <c r="H64" i="2"/>
  <c r="G64" i="2"/>
  <c r="E64" i="2"/>
  <c r="C64" i="2"/>
  <c r="I63" i="2"/>
  <c r="G63" i="2"/>
  <c r="E63" i="2"/>
  <c r="D63" i="2"/>
  <c r="C63" i="2"/>
  <c r="B63" i="2"/>
  <c r="I62" i="2"/>
  <c r="G62" i="2"/>
  <c r="E62" i="2"/>
  <c r="C62" i="2"/>
  <c r="B62" i="2"/>
  <c r="I61" i="2"/>
  <c r="G61" i="2"/>
  <c r="E61" i="2"/>
  <c r="D61" i="2"/>
  <c r="C61" i="2"/>
  <c r="B61" i="2"/>
  <c r="I60" i="2"/>
  <c r="G60" i="2"/>
  <c r="E60" i="2"/>
  <c r="D60" i="2"/>
  <c r="C60" i="2"/>
  <c r="B60" i="2"/>
  <c r="I59" i="2"/>
  <c r="G59" i="2"/>
  <c r="E59" i="2"/>
  <c r="D59" i="2"/>
  <c r="C59" i="2"/>
  <c r="I58" i="2"/>
  <c r="G58" i="2"/>
  <c r="E58" i="2"/>
  <c r="D58" i="2"/>
  <c r="C58" i="2"/>
  <c r="I57" i="2"/>
  <c r="G57" i="2"/>
  <c r="E57" i="2"/>
  <c r="D57" i="2"/>
  <c r="C57" i="2"/>
  <c r="B57" i="2"/>
  <c r="I56" i="2"/>
  <c r="G56" i="2"/>
  <c r="E56" i="2"/>
  <c r="D56" i="2"/>
  <c r="C56" i="2"/>
  <c r="B56" i="2"/>
  <c r="I55" i="2"/>
  <c r="G55" i="2"/>
  <c r="E55" i="2"/>
  <c r="D55" i="2"/>
  <c r="C55" i="2"/>
  <c r="B55" i="2"/>
  <c r="I54" i="2"/>
  <c r="G54" i="2"/>
  <c r="E54" i="2"/>
  <c r="D54" i="2"/>
  <c r="C54" i="2"/>
  <c r="B54" i="2"/>
  <c r="I53" i="2"/>
  <c r="G53" i="2"/>
  <c r="E53" i="2"/>
  <c r="D53" i="2"/>
  <c r="C53" i="2"/>
  <c r="B53" i="2"/>
  <c r="I52" i="2"/>
  <c r="G52" i="2"/>
  <c r="E52" i="2"/>
  <c r="D52" i="2"/>
  <c r="C52" i="2"/>
  <c r="B52" i="2"/>
  <c r="I51" i="2"/>
  <c r="G51" i="2"/>
  <c r="E51" i="2"/>
  <c r="D51" i="2"/>
  <c r="C51" i="2"/>
  <c r="B51" i="2"/>
  <c r="I50" i="2"/>
  <c r="G50" i="2"/>
  <c r="E50" i="2"/>
  <c r="D50" i="2"/>
  <c r="C50" i="2"/>
  <c r="B50" i="2"/>
  <c r="I49" i="2"/>
  <c r="G49" i="2"/>
  <c r="E49" i="2"/>
  <c r="D49" i="2"/>
  <c r="C49" i="2"/>
  <c r="B49" i="2"/>
  <c r="I48" i="2"/>
  <c r="G48" i="2"/>
  <c r="E48" i="2"/>
  <c r="D48" i="2"/>
  <c r="C48" i="2"/>
  <c r="B48" i="2"/>
  <c r="I47" i="2"/>
  <c r="G47" i="2"/>
  <c r="E47" i="2"/>
  <c r="D47" i="2"/>
  <c r="C47" i="2"/>
  <c r="I46" i="2"/>
  <c r="I86" i="2" s="1"/>
  <c r="G46" i="2"/>
  <c r="E46" i="2"/>
  <c r="D46" i="2"/>
  <c r="C46" i="2"/>
  <c r="I45" i="2"/>
  <c r="G45" i="2"/>
  <c r="E45" i="2"/>
  <c r="D45" i="2"/>
  <c r="C45" i="2"/>
  <c r="B45" i="2"/>
  <c r="I44" i="2"/>
  <c r="G44" i="2"/>
  <c r="E44" i="2"/>
  <c r="D44" i="2"/>
  <c r="C44" i="2"/>
  <c r="B44" i="2"/>
  <c r="I43" i="2"/>
  <c r="G43" i="2"/>
  <c r="E43" i="2"/>
  <c r="D43" i="2"/>
  <c r="C43" i="2"/>
  <c r="B43" i="2"/>
  <c r="I42" i="2"/>
  <c r="G42" i="2"/>
  <c r="E42" i="2"/>
  <c r="D42" i="2"/>
  <c r="C42" i="2"/>
  <c r="B42" i="2"/>
  <c r="I41" i="2"/>
  <c r="G41" i="2"/>
  <c r="E41" i="2"/>
  <c r="D41" i="2"/>
  <c r="C41" i="2"/>
  <c r="B41" i="2"/>
  <c r="I40" i="2"/>
  <c r="G40" i="2"/>
  <c r="E40" i="2"/>
  <c r="D40" i="2"/>
  <c r="C40" i="2"/>
  <c r="I39" i="2"/>
  <c r="G39" i="2"/>
  <c r="E39" i="2"/>
  <c r="D39" i="2"/>
  <c r="C39" i="2"/>
  <c r="I38" i="2"/>
  <c r="G38" i="2"/>
  <c r="E38" i="2"/>
  <c r="D38" i="2"/>
  <c r="C38" i="2"/>
  <c r="B38" i="2"/>
  <c r="I37" i="2"/>
  <c r="G37" i="2"/>
  <c r="E37" i="2"/>
  <c r="D37" i="2"/>
  <c r="C37" i="2"/>
  <c r="B37" i="2"/>
  <c r="I36" i="2"/>
  <c r="G36" i="2"/>
  <c r="E36" i="2"/>
  <c r="D36" i="2"/>
  <c r="C36" i="2"/>
  <c r="I35" i="2"/>
  <c r="G35" i="2"/>
  <c r="E35" i="2"/>
  <c r="D35" i="2"/>
  <c r="C35" i="2"/>
  <c r="I34" i="2"/>
  <c r="G34" i="2"/>
  <c r="D34" i="2"/>
  <c r="C34" i="2"/>
  <c r="B34" i="2"/>
  <c r="I33" i="2"/>
  <c r="G33" i="2"/>
  <c r="E33" i="2"/>
  <c r="D33" i="2"/>
  <c r="C33" i="2"/>
  <c r="B33" i="2"/>
  <c r="I32" i="2"/>
  <c r="G32" i="2"/>
  <c r="E32" i="2"/>
  <c r="D32" i="2"/>
  <c r="C32" i="2"/>
  <c r="B32" i="2"/>
  <c r="I31" i="2"/>
  <c r="G31" i="2"/>
  <c r="E31" i="2"/>
  <c r="D31" i="2"/>
  <c r="C31" i="2"/>
  <c r="B31" i="2"/>
  <c r="I30" i="2"/>
  <c r="G30" i="2"/>
  <c r="E30" i="2"/>
  <c r="D30" i="2"/>
  <c r="C30" i="2"/>
  <c r="B30" i="2"/>
  <c r="I29" i="2"/>
  <c r="G29" i="2"/>
  <c r="E29" i="2"/>
  <c r="D29" i="2"/>
  <c r="C29" i="2"/>
  <c r="I28" i="2"/>
  <c r="G28" i="2"/>
  <c r="E28" i="2"/>
  <c r="D28" i="2"/>
  <c r="C28" i="2"/>
  <c r="I27" i="2"/>
  <c r="G27" i="2"/>
  <c r="E27" i="2"/>
  <c r="D27" i="2"/>
  <c r="C27" i="2"/>
  <c r="B27" i="2"/>
  <c r="I26" i="2"/>
  <c r="G26" i="2"/>
  <c r="E26" i="2"/>
  <c r="D26" i="2"/>
  <c r="C26" i="2"/>
  <c r="B26" i="2"/>
  <c r="I25" i="2"/>
  <c r="G25" i="2"/>
  <c r="E25" i="2"/>
  <c r="D25" i="2"/>
  <c r="C25" i="2"/>
  <c r="B25" i="2"/>
  <c r="I24" i="2"/>
  <c r="G24" i="2"/>
  <c r="E24" i="2"/>
  <c r="D24" i="2"/>
  <c r="C24" i="2"/>
  <c r="B24" i="2"/>
  <c r="I23" i="2"/>
  <c r="G23" i="2"/>
  <c r="E23" i="2"/>
  <c r="D23" i="2"/>
  <c r="C23" i="2"/>
  <c r="B23" i="2"/>
  <c r="I22" i="2"/>
  <c r="G22" i="2"/>
  <c r="E22" i="2"/>
  <c r="D22" i="2"/>
  <c r="C22" i="2"/>
  <c r="B22" i="2"/>
  <c r="I21" i="2"/>
  <c r="G21" i="2"/>
  <c r="E21" i="2"/>
  <c r="D21" i="2"/>
  <c r="C21" i="2"/>
  <c r="B21" i="2"/>
  <c r="I20" i="2"/>
  <c r="G20" i="2"/>
  <c r="E20" i="2"/>
  <c r="D20" i="2"/>
  <c r="C20" i="2"/>
  <c r="B20" i="2"/>
  <c r="I19" i="2"/>
  <c r="G19" i="2"/>
  <c r="E19" i="2"/>
  <c r="D19" i="2"/>
  <c r="C19" i="2"/>
  <c r="B19" i="2"/>
  <c r="I18" i="2"/>
  <c r="G18" i="2"/>
  <c r="E18" i="2"/>
  <c r="D18" i="2"/>
  <c r="C18" i="2"/>
  <c r="I17" i="2"/>
  <c r="G17" i="2"/>
  <c r="E17" i="2"/>
  <c r="D17" i="2"/>
  <c r="C17" i="2"/>
  <c r="B17" i="2"/>
  <c r="I16" i="2"/>
  <c r="I90" i="2" s="1"/>
  <c r="G16" i="2"/>
  <c r="E16" i="2"/>
  <c r="D16" i="2"/>
  <c r="C16" i="2"/>
  <c r="I15" i="2"/>
  <c r="G15" i="2"/>
  <c r="E15" i="2"/>
  <c r="D15" i="2"/>
  <c r="C15" i="2"/>
  <c r="I14" i="2"/>
  <c r="G14" i="2"/>
  <c r="E14" i="2"/>
  <c r="D14" i="2"/>
  <c r="C14" i="2"/>
  <c r="B14" i="2"/>
  <c r="I13" i="2"/>
  <c r="G13" i="2"/>
  <c r="E13" i="2"/>
  <c r="D13" i="2"/>
  <c r="C13" i="2"/>
  <c r="B13" i="2"/>
  <c r="I12" i="2"/>
  <c r="G12" i="2"/>
  <c r="E12" i="2"/>
  <c r="D12" i="2"/>
  <c r="C12" i="2"/>
  <c r="B12" i="2"/>
  <c r="I11" i="2"/>
  <c r="G11" i="2"/>
  <c r="E11" i="2"/>
  <c r="D11" i="2"/>
  <c r="C11" i="2"/>
  <c r="B11" i="2"/>
  <c r="I10" i="2"/>
  <c r="G10" i="2"/>
  <c r="E10" i="2"/>
  <c r="D10" i="2"/>
  <c r="C10" i="2"/>
  <c r="B10" i="2"/>
  <c r="I9" i="2"/>
  <c r="G9" i="2"/>
  <c r="E9" i="2"/>
  <c r="D9" i="2"/>
  <c r="C9" i="2"/>
  <c r="B9" i="2"/>
  <c r="I8" i="2"/>
  <c r="G8" i="2"/>
  <c r="E8" i="2"/>
  <c r="D8" i="2"/>
  <c r="C8" i="2"/>
  <c r="I7" i="2"/>
  <c r="G7" i="2"/>
  <c r="E7" i="2"/>
  <c r="D7" i="2"/>
  <c r="C7" i="2"/>
  <c r="I6" i="2"/>
  <c r="G6" i="2"/>
  <c r="E6" i="2"/>
  <c r="D6" i="2"/>
  <c r="C6" i="2"/>
  <c r="B6" i="2"/>
  <c r="I5" i="2"/>
  <c r="G5" i="2"/>
  <c r="E5" i="2"/>
  <c r="D5" i="2"/>
  <c r="C5" i="2"/>
  <c r="B5" i="2"/>
  <c r="I4" i="2"/>
  <c r="G4" i="2"/>
  <c r="E4" i="2"/>
  <c r="D4" i="2"/>
  <c r="C4" i="2"/>
  <c r="B4" i="2"/>
  <c r="C3" i="2"/>
  <c r="R106" i="1"/>
  <c r="Q104" i="1"/>
  <c r="P104" i="1"/>
  <c r="P105" i="1" s="1"/>
  <c r="O104" i="1"/>
  <c r="O105" i="1" s="1"/>
  <c r="O107" i="1" s="1"/>
  <c r="N104" i="1"/>
  <c r="N105" i="1" s="1"/>
  <c r="N107" i="1" s="1"/>
  <c r="M104" i="1"/>
  <c r="M105" i="1" s="1"/>
  <c r="M107" i="1" s="1"/>
  <c r="L104" i="1"/>
  <c r="L105" i="1" s="1"/>
  <c r="L107" i="1" s="1"/>
  <c r="K104" i="1"/>
  <c r="J104" i="1"/>
  <c r="J105" i="1" s="1"/>
  <c r="I104" i="1"/>
  <c r="H104" i="1"/>
  <c r="H105" i="1" s="1"/>
  <c r="G104" i="1"/>
  <c r="G105" i="1" s="1"/>
  <c r="G107" i="1" s="1"/>
  <c r="F104" i="1"/>
  <c r="F105" i="1" s="1"/>
  <c r="F107" i="1" s="1"/>
  <c r="E104" i="1"/>
  <c r="E105" i="1" s="1"/>
  <c r="E107" i="1" s="1"/>
  <c r="D104" i="1"/>
  <c r="D105" i="1" s="1"/>
  <c r="D107" i="1" s="1"/>
  <c r="C104" i="1"/>
  <c r="R103" i="1"/>
  <c r="R102" i="1"/>
  <c r="R101" i="1"/>
  <c r="R100" i="1"/>
  <c r="R99" i="1"/>
  <c r="R98" i="1"/>
  <c r="R97" i="1"/>
  <c r="R104" i="1" s="1"/>
  <c r="R105" i="1" s="1"/>
  <c r="Q96" i="1"/>
  <c r="Q105" i="1" s="1"/>
  <c r="Q107" i="1" s="1"/>
  <c r="P96" i="1"/>
  <c r="O96" i="1"/>
  <c r="N96" i="1"/>
  <c r="M96" i="1"/>
  <c r="L96" i="1"/>
  <c r="K96" i="1"/>
  <c r="K105" i="1" s="1"/>
  <c r="K107" i="1" s="1"/>
  <c r="J96" i="1"/>
  <c r="I96" i="1"/>
  <c r="I105" i="1" s="1"/>
  <c r="I107" i="1" s="1"/>
  <c r="H96" i="1"/>
  <c r="G96" i="1"/>
  <c r="F96" i="1"/>
  <c r="E96" i="1"/>
  <c r="D96" i="1"/>
  <c r="C96" i="1"/>
  <c r="C105" i="1" s="1"/>
  <c r="C107" i="1" s="1"/>
  <c r="R95" i="1"/>
  <c r="R94" i="1"/>
  <c r="R93" i="1"/>
  <c r="R92" i="1"/>
  <c r="R91" i="1"/>
  <c r="R90" i="1"/>
  <c r="R89" i="1"/>
  <c r="R88" i="1"/>
  <c r="R96" i="1" s="1"/>
  <c r="Q86" i="1"/>
  <c r="Q87" i="1" s="1"/>
  <c r="P86" i="1"/>
  <c r="P87" i="1" s="1"/>
  <c r="O86" i="1"/>
  <c r="O87" i="1" s="1"/>
  <c r="N86" i="1"/>
  <c r="N87" i="1" s="1"/>
  <c r="M86" i="1"/>
  <c r="M87" i="1" s="1"/>
  <c r="L86" i="1"/>
  <c r="L87" i="1" s="1"/>
  <c r="K86" i="1"/>
  <c r="K87" i="1" s="1"/>
  <c r="J86" i="1"/>
  <c r="J87" i="1" s="1"/>
  <c r="I86" i="1"/>
  <c r="I87" i="1" s="1"/>
  <c r="H86" i="1"/>
  <c r="H87" i="1" s="1"/>
  <c r="G86" i="1"/>
  <c r="G87" i="1" s="1"/>
  <c r="F86" i="1"/>
  <c r="F87" i="1" s="1"/>
  <c r="E86" i="1"/>
  <c r="E87" i="1" s="1"/>
  <c r="D86" i="1"/>
  <c r="D87" i="1" s="1"/>
  <c r="C86" i="1"/>
  <c r="C87" i="1" s="1"/>
  <c r="R85" i="1"/>
  <c r="R86" i="1" s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83" i="1" s="1"/>
  <c r="R67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R65" i="1"/>
  <c r="R64" i="1"/>
  <c r="R63" i="1"/>
  <c r="R62" i="1"/>
  <c r="R61" i="1"/>
  <c r="R60" i="1"/>
  <c r="C60" i="1"/>
  <c r="R59" i="1"/>
  <c r="R58" i="1"/>
  <c r="C58" i="1"/>
  <c r="R57" i="1"/>
  <c r="R56" i="1"/>
  <c r="R55" i="1"/>
  <c r="R54" i="1"/>
  <c r="R53" i="1"/>
  <c r="R52" i="1"/>
  <c r="R51" i="1"/>
  <c r="R50" i="1"/>
  <c r="R49" i="1"/>
  <c r="R48" i="1"/>
  <c r="C48" i="1"/>
  <c r="R47" i="1"/>
  <c r="R46" i="1"/>
  <c r="R45" i="1"/>
  <c r="R44" i="1"/>
  <c r="R43" i="1"/>
  <c r="R42" i="1"/>
  <c r="R41" i="1"/>
  <c r="R40" i="1"/>
  <c r="R39" i="1"/>
  <c r="R38" i="1"/>
  <c r="C38" i="1"/>
  <c r="R37" i="1"/>
  <c r="R36" i="1"/>
  <c r="R35" i="1"/>
  <c r="R34" i="1"/>
  <c r="R33" i="1"/>
  <c r="R32" i="1"/>
  <c r="R31" i="1"/>
  <c r="R30" i="1"/>
  <c r="C30" i="1"/>
  <c r="C66" i="1" s="1"/>
  <c r="R29" i="1"/>
  <c r="R28" i="1"/>
  <c r="R66" i="1" s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R26" i="1"/>
  <c r="R25" i="1"/>
  <c r="R24" i="1"/>
  <c r="R23" i="1"/>
  <c r="R27" i="1" s="1"/>
  <c r="R22" i="1"/>
  <c r="R21" i="1"/>
  <c r="Q20" i="1"/>
  <c r="P20" i="1"/>
  <c r="O20" i="1"/>
  <c r="N20" i="1"/>
  <c r="M20" i="1"/>
  <c r="L20" i="1"/>
  <c r="K20" i="1"/>
  <c r="J20" i="1"/>
  <c r="I20" i="1"/>
  <c r="G20" i="1"/>
  <c r="F20" i="1"/>
  <c r="E20" i="1"/>
  <c r="D20" i="1"/>
  <c r="R19" i="1"/>
  <c r="H18" i="1"/>
  <c r="H20" i="1" s="1"/>
  <c r="F18" i="1"/>
  <c r="R18" i="1" s="1"/>
  <c r="C18" i="1"/>
  <c r="C20" i="1" s="1"/>
  <c r="R17" i="1"/>
  <c r="R16" i="1"/>
  <c r="R15" i="1"/>
  <c r="R20" i="1" s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R13" i="1"/>
  <c r="R12" i="1"/>
  <c r="R11" i="1"/>
  <c r="R10" i="1"/>
  <c r="R9" i="1"/>
  <c r="R8" i="1"/>
  <c r="R14" i="1" s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R6" i="1"/>
  <c r="R5" i="1"/>
  <c r="C5" i="1"/>
  <c r="R4" i="1"/>
  <c r="R3" i="1"/>
  <c r="R7" i="1" s="1"/>
  <c r="R87" i="1" l="1"/>
  <c r="R107" i="1" s="1"/>
  <c r="H107" i="1"/>
  <c r="P107" i="1"/>
  <c r="J107" i="1"/>
  <c r="E2" i="1" l="1"/>
</calcChain>
</file>

<file path=xl/sharedStrings.xml><?xml version="1.0" encoding="utf-8"?>
<sst xmlns="http://schemas.openxmlformats.org/spreadsheetml/2006/main" count="140" uniqueCount="121">
  <si>
    <t>SUB-HEAD</t>
  </si>
  <si>
    <t>COA</t>
  </si>
  <si>
    <t>ESTIMATED REVENUE FOR 2024</t>
  </si>
  <si>
    <t>REVISED BUDGET FOR 2024</t>
  </si>
  <si>
    <t>FIELD (ACTUAL FOR THE MONTH)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</si>
  <si>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</si>
  <si>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</si>
  <si>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</si>
  <si>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</si>
  <si>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</si>
  <si>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</si>
  <si>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</si>
  <si>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</si>
  <si>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</si>
  <si>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</si>
  <si>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</si>
  <si>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</si>
  <si>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CUMULATIVE</t>
  </si>
  <si>
    <t>Basic Rate</t>
  </si>
  <si>
    <t>Property Rate</t>
  </si>
  <si>
    <t>Property Rate Arrears</t>
  </si>
  <si>
    <t>Unassessed rate</t>
  </si>
  <si>
    <t>Sub-Total</t>
  </si>
  <si>
    <t>LAND AND ROYALTIES</t>
  </si>
  <si>
    <t>Stool Lands Revenue</t>
  </si>
  <si>
    <t>Jacket/Application Forms</t>
  </si>
  <si>
    <t>Development plans /Fees</t>
  </si>
  <si>
    <t>Communication Mast (permit for installation)</t>
  </si>
  <si>
    <t>RENTS OF LAND, BUILDING AND HOUSES (INVESTMENT INCOME)</t>
  </si>
  <si>
    <t>Hirring of Assembly Facilities (HOSTEL)</t>
  </si>
  <si>
    <t>Rent of Assembly Building (Market)</t>
  </si>
  <si>
    <t>Official Residence (rent of junior Quarters)</t>
  </si>
  <si>
    <t>FINES</t>
  </si>
  <si>
    <t>Miscellaneous Offences-Penalty charge by the Ass.</t>
  </si>
  <si>
    <t>Slaughter Fines</t>
  </si>
  <si>
    <t>Parking at unauthorized places-lorry park</t>
  </si>
  <si>
    <t>Court fines/Rate Defualter's Penalty</t>
  </si>
  <si>
    <t>LICENSES</t>
  </si>
  <si>
    <t>Comm.Mast Permit(BOP for installation of Comm. Mast)</t>
  </si>
  <si>
    <t>Herbalist License</t>
  </si>
  <si>
    <t>Chop Bar Restaturants</t>
  </si>
  <si>
    <t>Corn/Rice/Flour Miller</t>
  </si>
  <si>
    <t>Artisan/Self Employed</t>
  </si>
  <si>
    <t>Kiosk License</t>
  </si>
  <si>
    <t>Fuel Dealers</t>
  </si>
  <si>
    <t>Hotel/Night Club</t>
  </si>
  <si>
    <t>Cold storage facilities</t>
  </si>
  <si>
    <t>Pharmacist Chemical Sell</t>
  </si>
  <si>
    <t>Sawmills</t>
  </si>
  <si>
    <t>Taxicab/Commercial Vehicles</t>
  </si>
  <si>
    <t>Canopy/Chairs/Bench</t>
  </si>
  <si>
    <t xml:space="preserve"> </t>
  </si>
  <si>
    <t>Communication Center</t>
  </si>
  <si>
    <t>Private Professionals(Lic. letter writers/Com of Oath etc)</t>
  </si>
  <si>
    <t>private heath facilities</t>
  </si>
  <si>
    <t>Entertainment Center</t>
  </si>
  <si>
    <t>Bakeries /Bakers</t>
  </si>
  <si>
    <t>Financial Institutions</t>
  </si>
  <si>
    <t>Block Manufacturers</t>
  </si>
  <si>
    <t>Laundries/Car Wash</t>
  </si>
  <si>
    <t>Funeral Homes/Mortuaries/Undertakers</t>
  </si>
  <si>
    <t>Printing Press/Photocopy</t>
  </si>
  <si>
    <t>Private Schools</t>
  </si>
  <si>
    <t>Cocoa Residue Dealers(Cocoa buying Companies)</t>
  </si>
  <si>
    <t>Beers Bars</t>
  </si>
  <si>
    <t>Medicines  and  Pharmaceuticals</t>
  </si>
  <si>
    <t>Export of Commodities (Conveyance)</t>
  </si>
  <si>
    <t>Business registration</t>
  </si>
  <si>
    <t>Car Towing</t>
  </si>
  <si>
    <t>Catering Service</t>
  </si>
  <si>
    <t>Raw Water Charges(pure/mineral water producers)</t>
  </si>
  <si>
    <t>Sales of Insecticide(Agro chemicals &amp; the likes)</t>
  </si>
  <si>
    <t>Tender Documents</t>
  </si>
  <si>
    <t>Ambulance /Hearse</t>
  </si>
  <si>
    <t>other income(Provision store &amp; related items)</t>
  </si>
  <si>
    <t>FEES</t>
  </si>
  <si>
    <t>Chain Saw Operator</t>
  </si>
  <si>
    <t>Market Tolls</t>
  </si>
  <si>
    <t>Livestock/Kraals</t>
  </si>
  <si>
    <t>Poultry Farms licence</t>
  </si>
  <si>
    <t>Registration of Contractors</t>
  </si>
  <si>
    <t>Burial Fee</t>
  </si>
  <si>
    <t>Advertisement/Bill Boards</t>
  </si>
  <si>
    <t>Sub Metro Manged Toilets</t>
  </si>
  <si>
    <t>Ferry Tolls(Boats on Birim River)</t>
  </si>
  <si>
    <t>Mortuary Fee</t>
  </si>
  <si>
    <t>Park Entrance Fee(Lorry park fees)</t>
  </si>
  <si>
    <t>Promotional Fee(Business Promo/Gosple promo etc)</t>
  </si>
  <si>
    <t>Transport Fee(Transport unions)</t>
  </si>
  <si>
    <t>Laboratory Diagnostic Test(private hospital and the likes)</t>
  </si>
  <si>
    <t>food screening</t>
  </si>
  <si>
    <t>MISCELLANEOUS REVENUE</t>
  </si>
  <si>
    <t>Other sundry recoveries (zonal council collection)</t>
  </si>
  <si>
    <t>Sub Total</t>
  </si>
  <si>
    <t>TOTAL IGF REVENUE</t>
  </si>
  <si>
    <t>GRANTS-DISTRICTS</t>
  </si>
  <si>
    <t>Central Government - GOG Salaries</t>
  </si>
  <si>
    <t>M-SHARP HIV/AIDS</t>
  </si>
  <si>
    <t>G&amp;S - Decentralised Departments (GOG)</t>
  </si>
  <si>
    <t>People with Disability</t>
  </si>
  <si>
    <t>Other Agric Sector Donor Support-MAG</t>
  </si>
  <si>
    <t>GOG- Other (covid)</t>
  </si>
  <si>
    <t xml:space="preserve"> CAPITAL GRANTS-DISTRICTS</t>
  </si>
  <si>
    <t>DACF - Assembly</t>
  </si>
  <si>
    <t xml:space="preserve">DACF- MP Akim Oda Transfers </t>
  </si>
  <si>
    <t>DDF/DACF-RFG- Capital Dev. Project</t>
  </si>
  <si>
    <t>DDF-Capacity</t>
  </si>
  <si>
    <t>Secondary Cities' Programme (Capacity)</t>
  </si>
  <si>
    <t>Secondary Cities' Programme (Capital)</t>
  </si>
  <si>
    <t>TOTAL GRANT REVENUE</t>
  </si>
  <si>
    <t>GRAND TOTAL</t>
  </si>
  <si>
    <t>EXPENDITURE HEAD</t>
  </si>
  <si>
    <t>APPR. BUDG. EST. FOR THE YEAR</t>
  </si>
  <si>
    <t>REVISED BUDGET FOR 2025</t>
  </si>
  <si>
    <t>APPR. BUDG. EST. FOR THE MONTH</t>
  </si>
  <si>
    <t>ACTUAL FOR THE MONTH</t>
  </si>
  <si>
    <t>VARIANCE FOR THE MONTH</t>
  </si>
  <si>
    <t>CUM. ACTUAL TO DATE</t>
  </si>
  <si>
    <t>COMPENSATION OF EMPLOYEES</t>
  </si>
  <si>
    <t xml:space="preserve">                                                                                             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</si>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</sst>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sz val="11"/>
      <color rgb="FFC00000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b/>
      <sz val="10"/>
      <color rgb="FF00B050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C00000"/>
      <name val="Aptos Narrow"/>
      <family val="2"/>
      <scheme val="minor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2"/>
      <name val="Aptos Display"/>
      <family val="1"/>
      <scheme val="major"/>
    </font>
    <font>
      <sz val="16"/>
      <name val="Aptos Narrow"/>
      <family val="2"/>
      <scheme val="minor"/>
    </font>
    <font>
      <sz val="14"/>
      <name val="Aptos Narrow"/>
      <family val="2"/>
      <scheme val="minor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 val="singleAccounting"/>
      <sz val="14"/>
      <name val="Arial"/>
      <family val="2"/>
    </font>
    <font>
      <u val="singleAccounting"/>
      <sz val="14"/>
      <name val="Arial"/>
      <family val="2"/>
    </font>
    <font>
      <sz val="12"/>
      <name val="Arial"/>
      <family val="2"/>
    </font>
    <font>
      <b/>
      <u val="singleAccounting"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49">
    <xf numFmtId="0" fontId="0" fillId="0" borderId="0" xfId="0"/>
    <xf numFmtId="0" fontId="4" fillId="4" borderId="1" xfId="4" applyFill="1" applyBorder="1" applyAlignment="1">
      <alignment horizontal="center" vertical="center" wrapText="1"/>
    </xf>
    <xf numFmtId="0" fontId="4" fillId="4" borderId="2" xfId="4" applyFill="1" applyBorder="1" applyAlignment="1">
      <alignment horizontal="right" vertical="center" wrapText="1"/>
    </xf>
    <xf numFmtId="164" fontId="4" fillId="4" borderId="1" xfId="5" applyNumberFormat="1" applyFont="1" applyFill="1" applyBorder="1" applyAlignment="1">
      <alignment horizontal="center" vertical="center" wrapText="1"/>
    </xf>
    <xf numFmtId="164" fontId="4" fillId="4" borderId="2" xfId="5" applyNumberFormat="1" applyFont="1" applyFill="1" applyBorder="1" applyAlignment="1">
      <alignment horizontal="center" vertical="center" wrapText="1"/>
    </xf>
    <xf numFmtId="0" fontId="5" fillId="5" borderId="2" xfId="4" applyFont="1" applyFill="1" applyBorder="1" applyAlignment="1">
      <alignment horizontal="center" vertical="center" wrapText="1"/>
    </xf>
    <xf numFmtId="0" fontId="4" fillId="4" borderId="2" xfId="4" applyFill="1" applyBorder="1" applyAlignment="1">
      <alignment vertical="center"/>
    </xf>
    <xf numFmtId="43" fontId="5" fillId="4" borderId="3" xfId="5" applyFont="1" applyFill="1" applyBorder="1" applyAlignment="1">
      <alignment horizontal="center" vertical="center"/>
    </xf>
    <xf numFmtId="0" fontId="4" fillId="0" borderId="4" xfId="4" applyBorder="1" applyAlignment="1">
      <alignment vertical="center" wrapText="1"/>
    </xf>
    <xf numFmtId="0" fontId="4" fillId="0" borderId="5" xfId="4" applyBorder="1" applyAlignment="1">
      <alignment horizontal="right" vertical="center" wrapText="1"/>
    </xf>
    <xf numFmtId="0" fontId="4" fillId="0" borderId="6" xfId="4" applyBorder="1" applyAlignment="1">
      <alignment vertical="center"/>
    </xf>
    <xf numFmtId="0" fontId="4" fillId="0" borderId="5" xfId="4" applyBorder="1" applyAlignment="1">
      <alignment vertical="center"/>
    </xf>
    <xf numFmtId="165" fontId="6" fillId="6" borderId="5" xfId="5" applyNumberFormat="1" applyFont="1" applyFill="1" applyBorder="1" applyAlignment="1">
      <alignment vertical="center"/>
    </xf>
    <xf numFmtId="43" fontId="7" fillId="6" borderId="5" xfId="5" applyFont="1" applyFill="1" applyBorder="1" applyAlignment="1">
      <alignment vertical="center"/>
    </xf>
    <xf numFmtId="0" fontId="4" fillId="0" borderId="4" xfId="4" applyBorder="1" applyAlignment="1">
      <alignment horizontal="left" vertical="center" wrapText="1"/>
    </xf>
    <xf numFmtId="43" fontId="8" fillId="0" borderId="7" xfId="5" applyFont="1" applyFill="1" applyBorder="1"/>
    <xf numFmtId="43" fontId="4" fillId="0" borderId="5" xfId="5" applyFont="1" applyBorder="1"/>
    <xf numFmtId="166" fontId="4" fillId="6" borderId="5" xfId="5" applyNumberFormat="1" applyFont="1" applyFill="1" applyBorder="1" applyAlignment="1">
      <alignment vertical="center"/>
    </xf>
    <xf numFmtId="0" fontId="4" fillId="6" borderId="5" xfId="4" applyFill="1" applyBorder="1"/>
    <xf numFmtId="43" fontId="8" fillId="0" borderId="5" xfId="5" applyFont="1" applyFill="1" applyBorder="1"/>
    <xf numFmtId="43" fontId="9" fillId="0" borderId="7" xfId="5" applyFont="1" applyFill="1" applyBorder="1"/>
    <xf numFmtId="0" fontId="4" fillId="0" borderId="8" xfId="4" applyBorder="1" applyAlignment="1">
      <alignment horizontal="left" vertical="center" wrapText="1"/>
    </xf>
    <xf numFmtId="0" fontId="5" fillId="7" borderId="4" xfId="4" applyFont="1" applyFill="1" applyBorder="1" applyAlignment="1">
      <alignment vertical="center" wrapText="1"/>
    </xf>
    <xf numFmtId="0" fontId="5" fillId="7" borderId="5" xfId="4" applyFont="1" applyFill="1" applyBorder="1" applyAlignment="1">
      <alignment horizontal="right" vertical="center" wrapText="1"/>
    </xf>
    <xf numFmtId="43" fontId="10" fillId="7" borderId="7" xfId="5" applyFont="1" applyFill="1" applyBorder="1"/>
    <xf numFmtId="43" fontId="11" fillId="7" borderId="7" xfId="5" applyFont="1" applyFill="1" applyBorder="1"/>
    <xf numFmtId="43" fontId="7" fillId="7" borderId="5" xfId="5" applyFont="1" applyFill="1" applyBorder="1" applyAlignment="1">
      <alignment vertical="center"/>
    </xf>
    <xf numFmtId="0" fontId="12" fillId="0" borderId="4" xfId="4" applyFont="1" applyBorder="1" applyAlignment="1">
      <alignment vertical="center" wrapText="1"/>
    </xf>
    <xf numFmtId="0" fontId="5" fillId="0" borderId="5" xfId="4" applyFont="1" applyBorder="1" applyAlignment="1">
      <alignment horizontal="right" vertical="center" wrapText="1"/>
    </xf>
    <xf numFmtId="43" fontId="13" fillId="0" borderId="7" xfId="5" applyFont="1" applyFill="1" applyBorder="1"/>
    <xf numFmtId="43" fontId="14" fillId="0" borderId="5" xfId="5" applyFont="1" applyFill="1" applyBorder="1"/>
    <xf numFmtId="43" fontId="10" fillId="6" borderId="5" xfId="5" applyFont="1" applyFill="1" applyBorder="1"/>
    <xf numFmtId="0" fontId="5" fillId="0" borderId="4" xfId="4" applyFont="1" applyBorder="1" applyAlignment="1">
      <alignment vertical="center" wrapText="1"/>
    </xf>
    <xf numFmtId="43" fontId="10" fillId="0" borderId="5" xfId="5" applyFont="1" applyFill="1" applyBorder="1"/>
    <xf numFmtId="43" fontId="8" fillId="6" borderId="5" xfId="5" applyFont="1" applyFill="1" applyBorder="1"/>
    <xf numFmtId="43" fontId="8" fillId="0" borderId="9" xfId="5" applyFont="1" applyFill="1" applyBorder="1"/>
    <xf numFmtId="0" fontId="4" fillId="0" borderId="0" xfId="4"/>
    <xf numFmtId="0" fontId="4" fillId="6" borderId="5" xfId="4" applyFill="1" applyBorder="1" applyAlignment="1">
      <alignment horizontal="right" vertical="center" wrapText="1"/>
    </xf>
    <xf numFmtId="43" fontId="10" fillId="7" borderId="9" xfId="5" applyFont="1" applyFill="1" applyBorder="1"/>
    <xf numFmtId="43" fontId="15" fillId="0" borderId="5" xfId="5" applyFont="1" applyFill="1" applyBorder="1"/>
    <xf numFmtId="0" fontId="5" fillId="6" borderId="5" xfId="4" applyFont="1" applyFill="1" applyBorder="1" applyAlignment="1">
      <alignment horizontal="right" vertical="center" wrapText="1"/>
    </xf>
    <xf numFmtId="0" fontId="16" fillId="0" borderId="4" xfId="4" applyFont="1" applyBorder="1" applyAlignment="1">
      <alignment vertical="center" wrapText="1"/>
    </xf>
    <xf numFmtId="0" fontId="16" fillId="6" borderId="5" xfId="4" applyFont="1" applyFill="1" applyBorder="1" applyAlignment="1">
      <alignment horizontal="right" vertical="center" wrapText="1"/>
    </xf>
    <xf numFmtId="43" fontId="15" fillId="0" borderId="9" xfId="5" applyFont="1" applyFill="1" applyBorder="1"/>
    <xf numFmtId="166" fontId="16" fillId="6" borderId="5" xfId="5" applyNumberFormat="1" applyFont="1" applyFill="1" applyBorder="1" applyAlignment="1">
      <alignment vertical="center"/>
    </xf>
    <xf numFmtId="43" fontId="2" fillId="6" borderId="5" xfId="5" applyFont="1" applyFill="1" applyBorder="1" applyAlignment="1">
      <alignment vertical="center"/>
    </xf>
    <xf numFmtId="43" fontId="11" fillId="7" borderId="9" xfId="5" applyFont="1" applyFill="1" applyBorder="1"/>
    <xf numFmtId="0" fontId="4" fillId="0" borderId="0" xfId="4" applyAlignment="1">
      <alignment horizontal="right"/>
    </xf>
    <xf numFmtId="43" fontId="7" fillId="0" borderId="0" xfId="5" applyFont="1"/>
    <xf numFmtId="43" fontId="10" fillId="0" borderId="7" xfId="5" applyFont="1" applyFill="1" applyBorder="1"/>
    <xf numFmtId="166" fontId="5" fillId="6" borderId="5" xfId="5" applyNumberFormat="1" applyFont="1" applyFill="1" applyBorder="1" applyAlignment="1">
      <alignment vertical="center"/>
    </xf>
    <xf numFmtId="0" fontId="4" fillId="0" borderId="5" xfId="4" applyBorder="1" applyAlignment="1">
      <alignment horizontal="right"/>
    </xf>
    <xf numFmtId="43" fontId="0" fillId="0" borderId="9" xfId="5" applyFont="1" applyBorder="1"/>
    <xf numFmtId="43" fontId="7" fillId="6" borderId="9" xfId="5" applyFont="1" applyFill="1" applyBorder="1"/>
    <xf numFmtId="43" fontId="4" fillId="6" borderId="0" xfId="1" applyFont="1" applyFill="1"/>
    <xf numFmtId="43" fontId="17" fillId="6" borderId="9" xfId="5" applyFont="1" applyFill="1" applyBorder="1"/>
    <xf numFmtId="0" fontId="4" fillId="0" borderId="0" xfId="4" applyAlignment="1">
      <alignment wrapText="1"/>
    </xf>
    <xf numFmtId="0" fontId="4" fillId="6" borderId="0" xfId="4" applyFill="1"/>
    <xf numFmtId="0" fontId="18" fillId="0" borderId="4" xfId="4" applyFont="1" applyBorder="1" applyAlignment="1">
      <alignment vertical="center" wrapText="1"/>
    </xf>
    <xf numFmtId="43" fontId="10" fillId="6" borderId="7" xfId="5" applyFont="1" applyFill="1" applyBorder="1"/>
    <xf numFmtId="0" fontId="7" fillId="6" borderId="0" xfId="3" applyFont="1" applyFill="1"/>
    <xf numFmtId="0" fontId="7" fillId="6" borderId="5" xfId="3" applyFont="1" applyFill="1" applyBorder="1" applyAlignment="1">
      <alignment horizontal="right"/>
    </xf>
    <xf numFmtId="43" fontId="7" fillId="6" borderId="9" xfId="3" applyNumberFormat="1" applyFont="1" applyFill="1" applyBorder="1"/>
    <xf numFmtId="43" fontId="7" fillId="6" borderId="5" xfId="3" applyNumberFormat="1" applyFont="1" applyFill="1" applyBorder="1"/>
    <xf numFmtId="166" fontId="7" fillId="6" borderId="5" xfId="3" applyNumberFormat="1" applyFont="1" applyFill="1" applyBorder="1" applyAlignment="1">
      <alignment vertical="center"/>
    </xf>
    <xf numFmtId="166" fontId="19" fillId="6" borderId="5" xfId="5" applyNumberFormat="1" applyFont="1" applyFill="1" applyBorder="1" applyAlignment="1">
      <alignment vertical="center"/>
    </xf>
    <xf numFmtId="0" fontId="4" fillId="6" borderId="5" xfId="4" applyFill="1" applyBorder="1" applyAlignment="1">
      <alignment horizontal="right"/>
    </xf>
    <xf numFmtId="43" fontId="4" fillId="6" borderId="5" xfId="5" applyFont="1" applyFill="1" applyBorder="1"/>
    <xf numFmtId="0" fontId="4" fillId="7" borderId="5" xfId="4" applyFill="1" applyBorder="1" applyAlignment="1">
      <alignment horizontal="right"/>
    </xf>
    <xf numFmtId="43" fontId="5" fillId="7" borderId="7" xfId="5" applyFont="1" applyFill="1" applyBorder="1"/>
    <xf numFmtId="0" fontId="5" fillId="6" borderId="4" xfId="4" applyFont="1" applyFill="1" applyBorder="1" applyAlignment="1">
      <alignment vertical="center" wrapText="1"/>
    </xf>
    <xf numFmtId="43" fontId="5" fillId="6" borderId="7" xfId="5" applyFont="1" applyFill="1" applyBorder="1"/>
    <xf numFmtId="0" fontId="17" fillId="6" borderId="4" xfId="2" applyFont="1" applyFill="1" applyBorder="1" applyAlignment="1">
      <alignment vertical="center" wrapText="1"/>
    </xf>
    <xf numFmtId="0" fontId="17" fillId="6" borderId="5" xfId="2" applyFont="1" applyFill="1" applyBorder="1" applyAlignment="1">
      <alignment horizontal="right"/>
    </xf>
    <xf numFmtId="43" fontId="17" fillId="6" borderId="7" xfId="2" applyNumberFormat="1" applyFont="1" applyFill="1" applyBorder="1"/>
    <xf numFmtId="43" fontId="17" fillId="6" borderId="5" xfId="2" applyNumberFormat="1" applyFont="1" applyFill="1" applyBorder="1"/>
    <xf numFmtId="43" fontId="7" fillId="6" borderId="5" xfId="2" applyNumberFormat="1" applyFont="1" applyFill="1" applyBorder="1"/>
    <xf numFmtId="0" fontId="19" fillId="7" borderId="4" xfId="4" applyFont="1" applyFill="1" applyBorder="1" applyAlignment="1">
      <alignment vertical="center" wrapText="1"/>
    </xf>
    <xf numFmtId="0" fontId="19" fillId="7" borderId="5" xfId="4" applyFont="1" applyFill="1" applyBorder="1" applyAlignment="1">
      <alignment horizontal="right"/>
    </xf>
    <xf numFmtId="43" fontId="20" fillId="7" borderId="10" xfId="5" applyFont="1" applyFill="1" applyBorder="1"/>
    <xf numFmtId="43" fontId="5" fillId="7" borderId="10" xfId="5" applyFont="1" applyFill="1" applyBorder="1"/>
    <xf numFmtId="0" fontId="18" fillId="8" borderId="4" xfId="4" applyFont="1" applyFill="1" applyBorder="1" applyAlignment="1">
      <alignment vertical="center" wrapText="1"/>
    </xf>
    <xf numFmtId="0" fontId="4" fillId="8" borderId="9" xfId="4" applyFill="1" applyBorder="1" applyAlignment="1">
      <alignment horizontal="right" vertical="center" wrapText="1"/>
    </xf>
    <xf numFmtId="43" fontId="18" fillId="8" borderId="11" xfId="5" applyFont="1" applyFill="1" applyBorder="1"/>
    <xf numFmtId="43" fontId="18" fillId="8" borderId="12" xfId="5" applyFont="1" applyFill="1" applyBorder="1"/>
    <xf numFmtId="43" fontId="18" fillId="8" borderId="13" xfId="5" applyFont="1" applyFill="1" applyBorder="1"/>
    <xf numFmtId="43" fontId="7" fillId="8" borderId="5" xfId="5" applyFont="1" applyFill="1" applyBorder="1" applyAlignment="1">
      <alignment vertical="center"/>
    </xf>
    <xf numFmtId="43" fontId="10" fillId="6" borderId="14" xfId="5" applyFont="1" applyFill="1" applyBorder="1"/>
    <xf numFmtId="43" fontId="10" fillId="6" borderId="15" xfId="5" applyFont="1" applyFill="1" applyBorder="1"/>
    <xf numFmtId="0" fontId="5" fillId="6" borderId="4" xfId="4" applyFont="1" applyFill="1" applyBorder="1" applyAlignment="1">
      <alignment horizontal="left" vertical="center" wrapText="1"/>
    </xf>
    <xf numFmtId="43" fontId="8" fillId="6" borderId="7" xfId="5" applyFont="1" applyFill="1" applyBorder="1"/>
    <xf numFmtId="0" fontId="4" fillId="6" borderId="4" xfId="4" applyFill="1" applyBorder="1" applyAlignment="1">
      <alignment horizontal="left" vertical="center" wrapText="1"/>
    </xf>
    <xf numFmtId="43" fontId="21" fillId="6" borderId="5" xfId="5" applyFont="1" applyFill="1" applyBorder="1" applyAlignment="1">
      <alignment vertical="center"/>
    </xf>
    <xf numFmtId="43" fontId="22" fillId="6" borderId="5" xfId="5" applyFont="1" applyFill="1" applyBorder="1"/>
    <xf numFmtId="43" fontId="23" fillId="6" borderId="5" xfId="5" applyFont="1" applyFill="1" applyBorder="1"/>
    <xf numFmtId="43" fontId="4" fillId="6" borderId="0" xfId="5" applyFont="1" applyFill="1"/>
    <xf numFmtId="43" fontId="22" fillId="6" borderId="5" xfId="6" applyFont="1" applyFill="1" applyBorder="1"/>
    <xf numFmtId="43" fontId="22" fillId="6" borderId="5" xfId="7" applyFont="1" applyFill="1" applyBorder="1"/>
    <xf numFmtId="0" fontId="5" fillId="8" borderId="4" xfId="4" applyFont="1" applyFill="1" applyBorder="1" applyAlignment="1">
      <alignment vertical="center" wrapText="1"/>
    </xf>
    <xf numFmtId="0" fontId="4" fillId="8" borderId="5" xfId="4" applyFill="1" applyBorder="1" applyAlignment="1">
      <alignment horizontal="right" vertical="center" wrapText="1"/>
    </xf>
    <xf numFmtId="43" fontId="18" fillId="8" borderId="7" xfId="5" applyFont="1" applyFill="1" applyBorder="1"/>
    <xf numFmtId="166" fontId="4" fillId="6" borderId="4" xfId="4" applyNumberFormat="1" applyFill="1" applyBorder="1" applyAlignment="1">
      <alignment vertical="center" wrapText="1"/>
    </xf>
    <xf numFmtId="166" fontId="4" fillId="6" borderId="5" xfId="4" applyNumberFormat="1" applyFill="1" applyBorder="1" applyAlignment="1">
      <alignment horizontal="right" vertical="center" wrapText="1"/>
    </xf>
    <xf numFmtId="166" fontId="6" fillId="6" borderId="5" xfId="5" applyNumberFormat="1" applyFont="1" applyFill="1" applyBorder="1" applyAlignment="1">
      <alignment vertical="center"/>
    </xf>
    <xf numFmtId="166" fontId="3" fillId="6" borderId="5" xfId="5" applyNumberFormat="1" applyFont="1" applyFill="1" applyBorder="1" applyAlignment="1">
      <alignment vertical="center"/>
    </xf>
    <xf numFmtId="0" fontId="18" fillId="6" borderId="16" xfId="4" applyFont="1" applyFill="1" applyBorder="1" applyAlignment="1">
      <alignment vertical="center" wrapText="1"/>
    </xf>
    <xf numFmtId="43" fontId="18" fillId="6" borderId="17" xfId="5" applyFont="1" applyFill="1" applyBorder="1"/>
    <xf numFmtId="0" fontId="24" fillId="0" borderId="5" xfId="8" applyFont="1" applyBorder="1" applyAlignment="1">
      <alignment horizontal="center" vertical="center"/>
    </xf>
    <xf numFmtId="0" fontId="25" fillId="0" borderId="5" xfId="8" applyFont="1" applyBorder="1" applyAlignment="1">
      <alignment horizontal="center" vertical="center" wrapText="1"/>
    </xf>
    <xf numFmtId="164" fontId="24" fillId="6" borderId="18" xfId="5" applyNumberFormat="1" applyFont="1" applyFill="1" applyBorder="1" applyAlignment="1">
      <alignment horizontal="center" vertical="center" wrapText="1"/>
    </xf>
    <xf numFmtId="0" fontId="24" fillId="6" borderId="18" xfId="8" applyFont="1" applyFill="1" applyBorder="1" applyAlignment="1">
      <alignment horizontal="center" vertical="center" wrapText="1"/>
    </xf>
    <xf numFmtId="0" fontId="26" fillId="6" borderId="19" xfId="8" applyFont="1" applyFill="1" applyBorder="1" applyAlignment="1">
      <alignment horizontal="center" vertical="center" wrapText="1"/>
    </xf>
    <xf numFmtId="0" fontId="25" fillId="0" borderId="5" xfId="8" applyFont="1" applyBorder="1"/>
    <xf numFmtId="0" fontId="25" fillId="0" borderId="5" xfId="8" applyFont="1" applyBorder="1" applyAlignment="1">
      <alignment horizontal="center"/>
    </xf>
    <xf numFmtId="164" fontId="25" fillId="6" borderId="15" xfId="5" applyNumberFormat="1" applyFont="1" applyFill="1" applyBorder="1" applyAlignment="1">
      <alignment horizontal="center" vertical="center" wrapText="1"/>
    </xf>
    <xf numFmtId="0" fontId="25" fillId="6" borderId="15" xfId="8" applyFont="1" applyFill="1" applyBorder="1" applyAlignment="1">
      <alignment horizontal="center" vertical="center" wrapText="1"/>
    </xf>
    <xf numFmtId="43" fontId="25" fillId="6" borderId="20" xfId="8" applyNumberFormat="1" applyFont="1" applyFill="1" applyBorder="1" applyAlignment="1">
      <alignment horizontal="center" vertical="center" wrapText="1"/>
    </xf>
    <xf numFmtId="0" fontId="27" fillId="0" borderId="5" xfId="8" applyFont="1" applyBorder="1"/>
    <xf numFmtId="43" fontId="27" fillId="6" borderId="5" xfId="5" applyFont="1" applyFill="1" applyBorder="1" applyAlignment="1">
      <alignment vertical="center"/>
    </xf>
    <xf numFmtId="43" fontId="27" fillId="6" borderId="5" xfId="5" applyFont="1" applyFill="1" applyBorder="1"/>
    <xf numFmtId="43" fontId="27" fillId="6" borderId="5" xfId="8" applyNumberFormat="1" applyFont="1" applyFill="1" applyBorder="1"/>
    <xf numFmtId="43" fontId="28" fillId="6" borderId="21" xfId="5" applyFont="1" applyFill="1" applyBorder="1" applyAlignment="1">
      <alignment vertical="center"/>
    </xf>
    <xf numFmtId="43" fontId="25" fillId="6" borderId="5" xfId="5" applyFont="1" applyFill="1" applyBorder="1"/>
    <xf numFmtId="43" fontId="28" fillId="6" borderId="5" xfId="8" applyNumberFormat="1" applyFont="1" applyFill="1" applyBorder="1"/>
    <xf numFmtId="43" fontId="28" fillId="6" borderId="5" xfId="5" applyFont="1" applyFill="1" applyBorder="1"/>
    <xf numFmtId="43" fontId="25" fillId="6" borderId="5" xfId="8" applyNumberFormat="1" applyFont="1" applyFill="1" applyBorder="1"/>
    <xf numFmtId="43" fontId="28" fillId="6" borderId="5" xfId="5" applyFont="1" applyFill="1" applyBorder="1" applyAlignment="1">
      <alignment vertical="center"/>
    </xf>
    <xf numFmtId="43" fontId="25" fillId="6" borderId="5" xfId="5" applyFont="1" applyFill="1" applyBorder="1" applyAlignment="1">
      <alignment vertical="center"/>
    </xf>
    <xf numFmtId="43" fontId="25" fillId="0" borderId="5" xfId="1" applyFont="1" applyBorder="1"/>
    <xf numFmtId="43" fontId="29" fillId="6" borderId="5" xfId="8" applyNumberFormat="1" applyFont="1" applyFill="1" applyBorder="1"/>
    <xf numFmtId="0" fontId="18" fillId="0" borderId="5" xfId="8" applyFont="1" applyBorder="1" applyAlignment="1">
      <alignment horizontal="center" vertical="center"/>
    </xf>
    <xf numFmtId="164" fontId="18" fillId="6" borderId="18" xfId="5" applyNumberFormat="1" applyFont="1" applyFill="1" applyBorder="1" applyAlignment="1">
      <alignment horizontal="center" vertical="center" wrapText="1"/>
    </xf>
    <xf numFmtId="0" fontId="18" fillId="6" borderId="18" xfId="8" applyFont="1" applyFill="1" applyBorder="1" applyAlignment="1">
      <alignment horizontal="center" vertical="center" wrapText="1"/>
    </xf>
    <xf numFmtId="0" fontId="18" fillId="6" borderId="19" xfId="8" applyFont="1" applyFill="1" applyBorder="1" applyAlignment="1">
      <alignment horizontal="center" vertical="center" wrapText="1"/>
    </xf>
    <xf numFmtId="0" fontId="25" fillId="0" borderId="9" xfId="8" applyFont="1" applyBorder="1"/>
    <xf numFmtId="0" fontId="18" fillId="0" borderId="5" xfId="8" applyFont="1" applyBorder="1"/>
    <xf numFmtId="164" fontId="18" fillId="6" borderId="15" xfId="5" applyNumberFormat="1" applyFont="1" applyFill="1" applyBorder="1" applyAlignment="1">
      <alignment horizontal="center" vertical="center" wrapText="1"/>
    </xf>
    <xf numFmtId="0" fontId="18" fillId="6" borderId="15" xfId="8" applyFont="1" applyFill="1" applyBorder="1" applyAlignment="1">
      <alignment horizontal="center" vertical="center" wrapText="1"/>
    </xf>
    <xf numFmtId="0" fontId="18" fillId="6" borderId="20" xfId="8" applyFont="1" applyFill="1" applyBorder="1" applyAlignment="1">
      <alignment horizontal="center" vertical="center" wrapText="1"/>
    </xf>
    <xf numFmtId="43" fontId="30" fillId="6" borderId="5" xfId="5" applyFont="1" applyFill="1" applyBorder="1" applyAlignment="1">
      <alignment vertical="center"/>
    </xf>
    <xf numFmtId="43" fontId="30" fillId="6" borderId="5" xfId="5" applyFont="1" applyFill="1" applyBorder="1"/>
    <xf numFmtId="43" fontId="30" fillId="6" borderId="5" xfId="8" applyNumberFormat="1" applyFont="1" applyFill="1" applyBorder="1"/>
    <xf numFmtId="43" fontId="30" fillId="6" borderId="22" xfId="8" applyNumberFormat="1" applyFont="1" applyFill="1" applyBorder="1"/>
    <xf numFmtId="0" fontId="30" fillId="0" borderId="5" xfId="8" applyFont="1" applyBorder="1"/>
    <xf numFmtId="43" fontId="31" fillId="6" borderId="21" xfId="5" applyFont="1" applyFill="1" applyBorder="1" applyAlignment="1">
      <alignment vertical="center"/>
    </xf>
    <xf numFmtId="43" fontId="31" fillId="6" borderId="5" xfId="8" applyNumberFormat="1" applyFont="1" applyFill="1" applyBorder="1"/>
    <xf numFmtId="43" fontId="31" fillId="6" borderId="5" xfId="5" applyFont="1" applyFill="1" applyBorder="1" applyAlignment="1">
      <alignment vertical="center"/>
    </xf>
    <xf numFmtId="43" fontId="18" fillId="6" borderId="5" xfId="5" applyFont="1" applyFill="1" applyBorder="1" applyAlignment="1">
      <alignment vertical="center"/>
    </xf>
    <xf numFmtId="43" fontId="30" fillId="6" borderId="9" xfId="5" applyFont="1" applyFill="1" applyBorder="1" applyAlignment="1">
      <alignment vertical="center"/>
    </xf>
  </cellXfs>
  <cellStyles count="9">
    <cellStyle name="Accent3" xfId="2" builtinId="37"/>
    <cellStyle name="Accent4" xfId="3" builtinId="41"/>
    <cellStyle name="Comma" xfId="1" builtinId="3"/>
    <cellStyle name="Comma 11" xfId="5" xr:uid="{5E403DD6-4267-4734-881E-0B75394FF7BE}"/>
    <cellStyle name="Comma 48 2" xfId="7" xr:uid="{BAE1A028-DF2E-4A01-9299-BA2E37342D30}"/>
    <cellStyle name="Comma 49 2" xfId="6" xr:uid="{B920BE01-C9B4-4C74-89F4-B203E3AA5709}"/>
    <cellStyle name="Normal" xfId="0" builtinId="0"/>
    <cellStyle name="Normal 10 17" xfId="8" xr:uid="{85428379-6724-43E9-9C61-DD401E41D8B7}"/>
    <cellStyle name="Normal 178" xfId="4" xr:uid="{F721CA2A-4C5B-4487-81CC-378A0923DF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FINANCIAL%20STATEMENT%202024\MONTLY%20REPORT%20%202025\MAY%20%20IPSAS%20.xlsx" TargetMode="External"/><Relationship Id="rId1" Type="http://schemas.openxmlformats.org/officeDocument/2006/relationships/externalLinkPath" Target="/Users/pc/Desktop/FINANCIAL%20STATEMENT%202024/MONTLY%20REPORT%20%202025/MAY%20%20IPSAS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FINANCIAL%20STATEMENT%202024\MONTHLY%20REPORT\MARCH%202024.xlsx" TargetMode="External"/><Relationship Id="rId1" Type="http://schemas.openxmlformats.org/officeDocument/2006/relationships/externalLinkPath" Target="/Users/pc/Desktop/FINANCIAL%20STATEMENT%202024/MONTHLY%20REPORT/MAR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"/>
      <sheetName val="FP"/>
      <sheetName val="FPM"/>
      <sheetName val="FPM CUMM"/>
      <sheetName val="CASHFLOW (INDIRECT)"/>
      <sheetName val="REPA"/>
      <sheetName val="REPA CUMM"/>
      <sheetName val="SCE"/>
      <sheetName val="BUDGET INFO"/>
      <sheetName val="FPM-COFOG"/>
      <sheetName val="NOTES 1"/>
      <sheetName val="NOTES 2"/>
      <sheetName val="WIP"/>
      <sheetName val="GOG SCHEDULE"/>
      <sheetName val="IGF REV SCHEDULE"/>
      <sheetName val="IGF FIELD"/>
      <sheetName val="GRANT-FIELD"/>
      <sheetName val="IGF TB"/>
      <sheetName val="GRANT TB"/>
      <sheetName val="EXP BY FUND"/>
      <sheetName val="PAYABLE"/>
      <sheetName val="GRANT REV.SCHUDULE"/>
      <sheetName val="Rev TB"/>
      <sheetName val="Rev Fld"/>
      <sheetName val="COMPO FP"/>
      <sheetName val="COMPO FPM"/>
      <sheetName val="COMPO FPM-COFOG"/>
      <sheetName val="COMPO CASHFLOW"/>
      <sheetName val="COMPO REPA"/>
      <sheetName val="COMPO SCE"/>
      <sheetName val="COMPO NOTES 1"/>
      <sheetName val="COMPO NOTES 2"/>
      <sheetName val="EXP BY COFOG"/>
      <sheetName val="PPE"/>
      <sheetName val="APPRO. AGST EXPENDITURE"/>
      <sheetName val="INTANGIBLE ASSET"/>
      <sheetName val="COMMITMENT"/>
      <sheetName val="INVESTMENT PROPERTY"/>
      <sheetName val="BIOLOGICAL ASSETS"/>
      <sheetName val="INVESTMENT"/>
      <sheetName val="SERVICE CONCESSION"/>
      <sheetName val="NON-FIN. ASSETS HELD FOR SALE"/>
      <sheetName val="INVENTORY"/>
      <sheetName val="PREPAYMENT"/>
      <sheetName val="TRUST MONIES"/>
      <sheetName val="DERIVATIVES"/>
      <sheetName val="POST EMP. BENEFITS"/>
      <sheetName val="POLICY"/>
      <sheetName val="2022 Judgement debt liabilities"/>
      <sheetName val="RECONS"/>
      <sheetName val="UNPRE"/>
      <sheetName val="Sheet4"/>
      <sheetName val="Sheet3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Non Established Position</v>
          </cell>
        </row>
        <row r="5">
          <cell r="B5" t="str">
            <v>Daily Rated</v>
          </cell>
          <cell r="C5">
            <v>2111101</v>
          </cell>
          <cell r="S5">
            <v>0</v>
          </cell>
        </row>
        <row r="6">
          <cell r="B6" t="str">
            <v>Monthly Paid &amp; Casual Labour</v>
          </cell>
          <cell r="C6">
            <v>2111102</v>
          </cell>
          <cell r="D6">
            <v>300000</v>
          </cell>
          <cell r="F6">
            <v>19849.099999999999</v>
          </cell>
          <cell r="S6">
            <v>97564.489999999991</v>
          </cell>
        </row>
        <row r="7">
          <cell r="B7" t="str">
            <v>18.5% SSF Contribution</v>
          </cell>
          <cell r="C7">
            <v>2121001</v>
          </cell>
          <cell r="D7">
            <v>70000</v>
          </cell>
          <cell r="F7">
            <v>3613.25</v>
          </cell>
          <cell r="S7">
            <v>19858.96</v>
          </cell>
        </row>
        <row r="8">
          <cell r="B8" t="str">
            <v>Sub-Total</v>
          </cell>
          <cell r="D8">
            <v>370000</v>
          </cell>
          <cell r="E8">
            <v>0</v>
          </cell>
          <cell r="F8">
            <v>23462.35</v>
          </cell>
          <cell r="S8">
            <v>117423.44999999998</v>
          </cell>
        </row>
        <row r="9">
          <cell r="B9" t="str">
            <v>Other Allowances</v>
          </cell>
          <cell r="S9">
            <v>0</v>
          </cell>
        </row>
        <row r="10">
          <cell r="B10" t="str">
            <v>Special allowance</v>
          </cell>
          <cell r="C10">
            <v>2111248</v>
          </cell>
          <cell r="D10">
            <v>50000</v>
          </cell>
          <cell r="F10">
            <v>20927</v>
          </cell>
          <cell r="S10">
            <v>22248</v>
          </cell>
        </row>
        <row r="11">
          <cell r="B11" t="str">
            <v>Out of station allowance</v>
          </cell>
          <cell r="C11">
            <v>21111244</v>
          </cell>
          <cell r="D11">
            <v>120500</v>
          </cell>
          <cell r="F11">
            <v>9760</v>
          </cell>
          <cell r="S11">
            <v>35244</v>
          </cell>
        </row>
        <row r="12">
          <cell r="B12" t="str">
            <v>Overtime Allowances</v>
          </cell>
          <cell r="C12">
            <v>2111238</v>
          </cell>
          <cell r="D12">
            <v>20000</v>
          </cell>
          <cell r="S12">
            <v>0</v>
          </cell>
        </row>
        <row r="13">
          <cell r="B13" t="str">
            <v>Travelling Allowance</v>
          </cell>
          <cell r="C13">
            <v>2111242</v>
          </cell>
          <cell r="D13">
            <v>100000</v>
          </cell>
          <cell r="S13">
            <v>1750</v>
          </cell>
        </row>
        <row r="14">
          <cell r="B14" t="str">
            <v>Transfer Grants</v>
          </cell>
          <cell r="C14">
            <v>2111243</v>
          </cell>
          <cell r="D14">
            <v>150000</v>
          </cell>
          <cell r="S14">
            <v>0</v>
          </cell>
        </row>
        <row r="15">
          <cell r="B15" t="str">
            <v>Ex-Gratia for Assembly Members</v>
          </cell>
          <cell r="C15">
            <v>2121004</v>
          </cell>
          <cell r="D15">
            <v>70001.55</v>
          </cell>
          <cell r="S15">
            <v>0</v>
          </cell>
        </row>
        <row r="16">
          <cell r="B16" t="str">
            <v>Sub-Total</v>
          </cell>
          <cell r="D16">
            <v>510501.55</v>
          </cell>
          <cell r="E16">
            <v>0</v>
          </cell>
          <cell r="F16">
            <v>30687</v>
          </cell>
          <cell r="S16">
            <v>59242</v>
          </cell>
        </row>
        <row r="17">
          <cell r="B17" t="str">
            <v>TOTAL COMPENSATION OF EMPLOYEES</v>
          </cell>
          <cell r="D17">
            <v>880501.55</v>
          </cell>
          <cell r="E17">
            <v>0</v>
          </cell>
          <cell r="F17">
            <v>54149.35</v>
          </cell>
        </row>
        <row r="18">
          <cell r="B18" t="str">
            <v>GOODS AND SERVICE</v>
          </cell>
          <cell r="C18" t="str">
            <v xml:space="preserve"> </v>
          </cell>
          <cell r="S18">
            <v>0</v>
          </cell>
        </row>
        <row r="19">
          <cell r="B19" t="str">
            <v>MATERIALS- OFFICE SUPPLIES</v>
          </cell>
          <cell r="S19">
            <v>0</v>
          </cell>
        </row>
        <row r="20">
          <cell r="B20" t="str">
            <v>SPecialised Stock / Support tree planting</v>
          </cell>
          <cell r="C20">
            <v>2210110</v>
          </cell>
          <cell r="D20">
            <v>8000</v>
          </cell>
          <cell r="S20">
            <v>0</v>
          </cell>
        </row>
        <row r="21">
          <cell r="B21" t="str">
            <v>Cleaning Materials</v>
          </cell>
          <cell r="C21">
            <v>2210301</v>
          </cell>
          <cell r="D21">
            <v>29000</v>
          </cell>
          <cell r="S21">
            <v>5330</v>
          </cell>
        </row>
        <row r="22">
          <cell r="B22" t="str">
            <v>Printed Materails &amp; Stationery</v>
          </cell>
          <cell r="C22">
            <v>2210101</v>
          </cell>
          <cell r="D22">
            <v>100000</v>
          </cell>
          <cell r="F22">
            <v>1145</v>
          </cell>
          <cell r="S22">
            <v>56183.28</v>
          </cell>
        </row>
        <row r="23">
          <cell r="B23" t="str">
            <v>Office facilities, Supplies &amp; Accessories</v>
          </cell>
          <cell r="C23">
            <v>2210102</v>
          </cell>
          <cell r="D23">
            <v>40000</v>
          </cell>
          <cell r="S23">
            <v>0</v>
          </cell>
        </row>
        <row r="24">
          <cell r="B24" t="str">
            <v>Refreshment Item</v>
          </cell>
          <cell r="C24">
            <v>2210103</v>
          </cell>
          <cell r="D24">
            <v>300000</v>
          </cell>
          <cell r="F24">
            <v>27900</v>
          </cell>
          <cell r="S24">
            <v>51062</v>
          </cell>
        </row>
        <row r="25">
          <cell r="B25" t="str">
            <v>Specialised Stock / Value Books</v>
          </cell>
          <cell r="C25">
            <v>2210122</v>
          </cell>
          <cell r="D25">
            <v>70000</v>
          </cell>
          <cell r="F25">
            <v>10700</v>
          </cell>
          <cell r="S25">
            <v>22500</v>
          </cell>
        </row>
        <row r="26">
          <cell r="B26" t="str">
            <v>Electrical accessories</v>
          </cell>
          <cell r="C26">
            <v>2210112</v>
          </cell>
          <cell r="S26">
            <v>2767.75</v>
          </cell>
        </row>
        <row r="27">
          <cell r="B27" t="str">
            <v>Purchase of Petty Tools/Implement</v>
          </cell>
          <cell r="C27">
            <v>2210120</v>
          </cell>
          <cell r="D27">
            <v>10000</v>
          </cell>
          <cell r="S27">
            <v>0</v>
          </cell>
        </row>
        <row r="28">
          <cell r="B28" t="str">
            <v>Chemicals and consumables (COVID)</v>
          </cell>
          <cell r="C28">
            <v>2210116</v>
          </cell>
          <cell r="S28">
            <v>0</v>
          </cell>
        </row>
        <row r="29">
          <cell r="B29" t="str">
            <v>Sub-Total</v>
          </cell>
          <cell r="D29">
            <v>557000</v>
          </cell>
          <cell r="E29">
            <v>0</v>
          </cell>
          <cell r="F29">
            <v>39745</v>
          </cell>
          <cell r="S29">
            <v>137843.03</v>
          </cell>
        </row>
        <row r="30">
          <cell r="B30" t="str">
            <v>UTILITIES</v>
          </cell>
          <cell r="S30">
            <v>0</v>
          </cell>
        </row>
        <row r="31">
          <cell r="B31" t="str">
            <v>Electricity Charges</v>
          </cell>
          <cell r="C31">
            <v>2210201</v>
          </cell>
          <cell r="D31">
            <v>10000</v>
          </cell>
          <cell r="S31">
            <v>0</v>
          </cell>
        </row>
        <row r="32">
          <cell r="B32" t="str">
            <v>Water</v>
          </cell>
          <cell r="C32">
            <v>2210202</v>
          </cell>
          <cell r="D32">
            <v>2000</v>
          </cell>
          <cell r="S32">
            <v>0</v>
          </cell>
        </row>
        <row r="33">
          <cell r="B33" t="str">
            <v>Postal Charges</v>
          </cell>
          <cell r="C33">
            <v>2210204</v>
          </cell>
          <cell r="D33">
            <v>1000</v>
          </cell>
          <cell r="S33">
            <v>0</v>
          </cell>
        </row>
        <row r="34">
          <cell r="B34" t="str">
            <v>Fire Fighthing Accessories</v>
          </cell>
          <cell r="C34">
            <v>2210609</v>
          </cell>
          <cell r="D34">
            <v>20000</v>
          </cell>
          <cell r="S34">
            <v>0</v>
          </cell>
        </row>
        <row r="35">
          <cell r="B35" t="str">
            <v>sanitation charges</v>
          </cell>
          <cell r="C35">
            <v>2210205</v>
          </cell>
          <cell r="D35">
            <v>120000</v>
          </cell>
          <cell r="F35">
            <v>2800</v>
          </cell>
          <cell r="S35">
            <v>13420</v>
          </cell>
        </row>
        <row r="36">
          <cell r="B36" t="str">
            <v>Sub-Total</v>
          </cell>
          <cell r="D36">
            <v>153000</v>
          </cell>
          <cell r="E36">
            <v>0</v>
          </cell>
          <cell r="F36">
            <v>2800</v>
          </cell>
          <cell r="S36">
            <v>13420</v>
          </cell>
        </row>
        <row r="37">
          <cell r="B37" t="str">
            <v>RENTAL</v>
          </cell>
          <cell r="S37">
            <v>0</v>
          </cell>
        </row>
        <row r="38">
          <cell r="B38" t="str">
            <v>Machine/Equipment</v>
          </cell>
          <cell r="C38">
            <v>2210401</v>
          </cell>
          <cell r="S38">
            <v>0</v>
          </cell>
        </row>
        <row r="39">
          <cell r="B39" t="str">
            <v>Hotel Accommodations</v>
          </cell>
          <cell r="C39">
            <v>2210404</v>
          </cell>
          <cell r="D39">
            <v>70000</v>
          </cell>
          <cell r="S39">
            <v>18600</v>
          </cell>
        </row>
        <row r="40">
          <cell r="B40" t="str">
            <v>Sub-Total</v>
          </cell>
          <cell r="D40">
            <v>70000</v>
          </cell>
          <cell r="E40">
            <v>0</v>
          </cell>
          <cell r="F40">
            <v>0</v>
          </cell>
          <cell r="S40">
            <v>18600</v>
          </cell>
        </row>
        <row r="41">
          <cell r="B41" t="str">
            <v>TRAVEL- TRANSPORT</v>
          </cell>
          <cell r="S41">
            <v>0</v>
          </cell>
        </row>
        <row r="42">
          <cell r="B42" t="str">
            <v>Maintenance/ Repairs of Official Vehicles</v>
          </cell>
          <cell r="C42">
            <v>2210502</v>
          </cell>
          <cell r="D42">
            <v>50000</v>
          </cell>
          <cell r="S42">
            <v>16413.55</v>
          </cell>
        </row>
        <row r="43">
          <cell r="B43" t="str">
            <v>Fuel &amp; Lubricants- official Vehicles</v>
          </cell>
          <cell r="C43">
            <v>2210503</v>
          </cell>
          <cell r="D43">
            <v>160000</v>
          </cell>
          <cell r="F43">
            <v>31670</v>
          </cell>
          <cell r="S43">
            <v>61540</v>
          </cell>
        </row>
        <row r="44">
          <cell r="B44" t="str">
            <v>Running cost of official vehicle</v>
          </cell>
          <cell r="C44">
            <v>2210505</v>
          </cell>
          <cell r="D44">
            <v>55000</v>
          </cell>
          <cell r="S44">
            <v>0</v>
          </cell>
        </row>
        <row r="45">
          <cell r="B45" t="str">
            <v>Fuel Allocation to Waste Mgt Dept.</v>
          </cell>
          <cell r="C45">
            <v>2210517</v>
          </cell>
          <cell r="S45">
            <v>0</v>
          </cell>
        </row>
        <row r="46">
          <cell r="B46" t="str">
            <v>Local travel cost</v>
          </cell>
          <cell r="C46">
            <v>2210511</v>
          </cell>
          <cell r="D46">
            <v>247000</v>
          </cell>
          <cell r="F46">
            <v>3710</v>
          </cell>
          <cell r="S46">
            <v>33505</v>
          </cell>
        </row>
        <row r="47">
          <cell r="B47" t="str">
            <v>Sub-Total</v>
          </cell>
          <cell r="D47">
            <v>512000</v>
          </cell>
          <cell r="E47">
            <v>0</v>
          </cell>
          <cell r="F47">
            <v>35380</v>
          </cell>
          <cell r="S47">
            <v>111458.55</v>
          </cell>
        </row>
        <row r="48">
          <cell r="B48" t="str">
            <v>REPAIRS-MAINTENANCE</v>
          </cell>
          <cell r="S48">
            <v>0</v>
          </cell>
        </row>
        <row r="49">
          <cell r="B49" t="str">
            <v>Repairs of Residential Building</v>
          </cell>
          <cell r="C49">
            <v>2210602</v>
          </cell>
          <cell r="D49">
            <v>60000</v>
          </cell>
          <cell r="S49">
            <v>0</v>
          </cell>
        </row>
        <row r="50">
          <cell r="B50" t="str">
            <v>Repairs of Office Buildings</v>
          </cell>
          <cell r="C50">
            <v>2210603</v>
          </cell>
          <cell r="D50">
            <v>50000</v>
          </cell>
          <cell r="F50">
            <v>3605</v>
          </cell>
          <cell r="S50">
            <v>18270</v>
          </cell>
        </row>
        <row r="51">
          <cell r="B51" t="str">
            <v>Maintenace of Furniture &amp; Fixtures</v>
          </cell>
          <cell r="C51">
            <v>2210604</v>
          </cell>
          <cell r="D51">
            <v>9000</v>
          </cell>
          <cell r="S51">
            <v>0</v>
          </cell>
        </row>
        <row r="52">
          <cell r="B52" t="str">
            <v>Maintenance of Office Equipment</v>
          </cell>
          <cell r="C52">
            <v>2210605</v>
          </cell>
          <cell r="S52">
            <v>0</v>
          </cell>
        </row>
        <row r="53">
          <cell r="D53">
            <v>30000</v>
          </cell>
        </row>
        <row r="54">
          <cell r="B54" t="str">
            <v>Maint. Of Market</v>
          </cell>
          <cell r="C54">
            <v>2210611</v>
          </cell>
          <cell r="D54">
            <v>30000</v>
          </cell>
          <cell r="S54">
            <v>0</v>
          </cell>
        </row>
        <row r="55">
          <cell r="B55" t="str">
            <v>Maintenance of Public Toilets</v>
          </cell>
          <cell r="C55">
            <v>221061</v>
          </cell>
          <cell r="S55">
            <v>0</v>
          </cell>
        </row>
        <row r="56">
          <cell r="B56" t="str">
            <v xml:space="preserve">Contribution-Traditional Authority  (support) </v>
          </cell>
          <cell r="C56">
            <v>2210612</v>
          </cell>
          <cell r="S56">
            <v>0</v>
          </cell>
        </row>
        <row r="57">
          <cell r="B57" t="str">
            <v>Maintenance of Sanit &amp; Sanit. Site (waste mgt)</v>
          </cell>
          <cell r="C57">
            <v>2210614</v>
          </cell>
          <cell r="S57">
            <v>0</v>
          </cell>
        </row>
        <row r="58">
          <cell r="B58" t="str">
            <v>Street Lights/Traffic Lights</v>
          </cell>
          <cell r="C58">
            <v>2210617</v>
          </cell>
          <cell r="D58">
            <v>50000</v>
          </cell>
          <cell r="S58">
            <v>0</v>
          </cell>
        </row>
        <row r="59">
          <cell r="B59" t="str">
            <v>Cemetries</v>
          </cell>
          <cell r="C59">
            <v>2210618</v>
          </cell>
          <cell r="D59">
            <v>15000</v>
          </cell>
          <cell r="S59">
            <v>0</v>
          </cell>
        </row>
        <row r="60">
          <cell r="B60" t="str">
            <v>Sub-Total</v>
          </cell>
          <cell r="D60">
            <v>274000</v>
          </cell>
          <cell r="E60">
            <v>0</v>
          </cell>
          <cell r="F60">
            <v>3605</v>
          </cell>
          <cell r="S60">
            <v>21928.73</v>
          </cell>
        </row>
        <row r="61">
          <cell r="B61" t="str">
            <v>TRAINING SEMINAR AND CONFERENCES</v>
          </cell>
          <cell r="S61">
            <v>0</v>
          </cell>
        </row>
        <row r="62">
          <cell r="B62" t="str">
            <v>Visits/ Conferences / Seminars / Workshop/Meetings</v>
          </cell>
          <cell r="C62">
            <v>2210709</v>
          </cell>
          <cell r="D62">
            <v>370000</v>
          </cell>
          <cell r="S62">
            <v>27573</v>
          </cell>
        </row>
        <row r="63">
          <cell r="B63" t="str">
            <v>Public Education &amp; Sensitization</v>
          </cell>
          <cell r="C63">
            <v>2210711</v>
          </cell>
          <cell r="D63">
            <v>20000</v>
          </cell>
          <cell r="S63">
            <v>4575</v>
          </cell>
        </row>
        <row r="64">
          <cell r="B64" t="str">
            <v>Staff Development</v>
          </cell>
          <cell r="C64">
            <v>2210710</v>
          </cell>
          <cell r="S64">
            <v>0</v>
          </cell>
        </row>
        <row r="65">
          <cell r="B65" t="str">
            <v>Sub-Total</v>
          </cell>
          <cell r="D65">
            <v>420000</v>
          </cell>
          <cell r="E65">
            <v>0</v>
          </cell>
          <cell r="F65">
            <v>0</v>
          </cell>
          <cell r="G65">
            <v>2120</v>
          </cell>
          <cell r="S65">
            <v>32148</v>
          </cell>
        </row>
        <row r="66">
          <cell r="B66" t="str">
            <v>EMPLOYER SOCIAL BENEFITS</v>
          </cell>
          <cell r="S66">
            <v>0</v>
          </cell>
        </row>
        <row r="67">
          <cell r="B67" t="str">
            <v>Staff &amp; Ass. Members' Welfare</v>
          </cell>
          <cell r="C67">
            <v>2731102</v>
          </cell>
          <cell r="D67">
            <v>35000</v>
          </cell>
          <cell r="S67">
            <v>11000</v>
          </cell>
        </row>
        <row r="68">
          <cell r="B68" t="str">
            <v>Sub-Total</v>
          </cell>
          <cell r="D68">
            <v>35000</v>
          </cell>
          <cell r="E68">
            <v>0</v>
          </cell>
          <cell r="F68">
            <v>0</v>
          </cell>
          <cell r="S68">
            <v>11000</v>
          </cell>
        </row>
        <row r="69">
          <cell r="B69" t="str">
            <v>SPECIAL SERVICES</v>
          </cell>
          <cell r="S69">
            <v>0</v>
          </cell>
        </row>
        <row r="70">
          <cell r="B70" t="str">
            <v>Official Celebration/National demand</v>
          </cell>
          <cell r="C70">
            <v>2210902</v>
          </cell>
          <cell r="D70">
            <v>45000</v>
          </cell>
          <cell r="S70">
            <v>0</v>
          </cell>
        </row>
        <row r="71">
          <cell r="B71" t="str">
            <v>RCC Contributions</v>
          </cell>
          <cell r="C71">
            <v>2821010</v>
          </cell>
          <cell r="D71">
            <v>192855</v>
          </cell>
          <cell r="F71">
            <v>1750</v>
          </cell>
          <cell r="S71">
            <v>68588</v>
          </cell>
        </row>
        <row r="72">
          <cell r="B72" t="str">
            <v>Assembly Members' Sitting Allowances</v>
          </cell>
          <cell r="C72">
            <v>2210905</v>
          </cell>
          <cell r="D72">
            <v>340000</v>
          </cell>
          <cell r="F72">
            <v>43962</v>
          </cell>
          <cell r="S72">
            <v>97877</v>
          </cell>
        </row>
        <row r="73">
          <cell r="B73" t="str">
            <v>Unit committee /zonal council operations</v>
          </cell>
          <cell r="C73">
            <v>2210906</v>
          </cell>
          <cell r="D73">
            <v>80000</v>
          </cell>
          <cell r="S73">
            <v>0</v>
          </cell>
        </row>
        <row r="74">
          <cell r="B74" t="str">
            <v>Workman Compensation/Commission Collectors</v>
          </cell>
          <cell r="C74">
            <v>2210806</v>
          </cell>
          <cell r="D74">
            <v>250000</v>
          </cell>
          <cell r="F74">
            <v>23923.5</v>
          </cell>
          <cell r="S74">
            <v>75380.899999999994</v>
          </cell>
        </row>
        <row r="75">
          <cell r="B75" t="str">
            <v>Sub-Total</v>
          </cell>
          <cell r="D75">
            <v>907855</v>
          </cell>
          <cell r="E75">
            <v>0</v>
          </cell>
          <cell r="F75">
            <v>69635.5</v>
          </cell>
          <cell r="S75">
            <v>241845.9</v>
          </cell>
        </row>
        <row r="76">
          <cell r="B76" t="str">
            <v>CONSULTING SERVICES</v>
          </cell>
          <cell r="S76">
            <v>0</v>
          </cell>
        </row>
        <row r="77">
          <cell r="B77" t="str">
            <v xml:space="preserve"> Consultancy Expenses (Food sreeening)</v>
          </cell>
          <cell r="C77">
            <v>2210803</v>
          </cell>
          <cell r="D77">
            <v>40000</v>
          </cell>
          <cell r="S77">
            <v>0</v>
          </cell>
        </row>
        <row r="78">
          <cell r="B78" t="str">
            <v>Sub-Total</v>
          </cell>
          <cell r="D78">
            <v>40000</v>
          </cell>
          <cell r="E78">
            <v>0</v>
          </cell>
          <cell r="F78">
            <v>0</v>
          </cell>
          <cell r="S78">
            <v>0</v>
          </cell>
        </row>
        <row r="79">
          <cell r="B79" t="str">
            <v>GENERAL  EXPENSES</v>
          </cell>
          <cell r="S79">
            <v>0</v>
          </cell>
        </row>
        <row r="80">
          <cell r="B80" t="str">
            <v>Insurance of Official Vehicles</v>
          </cell>
          <cell r="C80">
            <v>2211304</v>
          </cell>
          <cell r="D80">
            <v>20000</v>
          </cell>
          <cell r="S80">
            <v>0</v>
          </cell>
        </row>
        <row r="81">
          <cell r="B81" t="str">
            <v>Court Expenses</v>
          </cell>
          <cell r="C81">
            <v>2821007</v>
          </cell>
          <cell r="D81">
            <v>10000</v>
          </cell>
          <cell r="S81">
            <v>0</v>
          </cell>
        </row>
        <row r="82">
          <cell r="B82" t="str">
            <v>Donations</v>
          </cell>
          <cell r="C82">
            <v>2821009</v>
          </cell>
          <cell r="D82">
            <v>90000</v>
          </cell>
          <cell r="S82">
            <v>7199</v>
          </cell>
        </row>
        <row r="83">
          <cell r="B83" t="str">
            <v>Sub-Total</v>
          </cell>
          <cell r="D83">
            <v>120000</v>
          </cell>
          <cell r="E83">
            <v>0</v>
          </cell>
          <cell r="F83">
            <v>0</v>
          </cell>
          <cell r="S83">
            <v>7199</v>
          </cell>
        </row>
        <row r="84">
          <cell r="B84" t="str">
            <v>OTHER CHARGES-FEES</v>
          </cell>
          <cell r="C84" t="str">
            <v xml:space="preserve"> </v>
          </cell>
          <cell r="S84">
            <v>0</v>
          </cell>
        </row>
        <row r="85">
          <cell r="B85" t="str">
            <v xml:space="preserve">Bank Charges </v>
          </cell>
          <cell r="C85">
            <v>2211101</v>
          </cell>
          <cell r="D85">
            <v>5000</v>
          </cell>
          <cell r="F85">
            <v>248.26</v>
          </cell>
          <cell r="S85">
            <v>553.35</v>
          </cell>
        </row>
        <row r="86">
          <cell r="B86" t="str">
            <v>Sub-Total</v>
          </cell>
          <cell r="D86">
            <v>5000</v>
          </cell>
          <cell r="E86">
            <v>0</v>
          </cell>
          <cell r="F86">
            <v>248.26</v>
          </cell>
          <cell r="S86">
            <v>553.35</v>
          </cell>
        </row>
        <row r="87">
          <cell r="B87" t="str">
            <v>TOTAL GOODS AND SERVICES</v>
          </cell>
          <cell r="D87">
            <v>3093855</v>
          </cell>
          <cell r="E87">
            <v>0</v>
          </cell>
          <cell r="F87">
            <v>151413.76000000001</v>
          </cell>
        </row>
        <row r="89">
          <cell r="B89" t="str">
            <v>PROCUREMENT OF CANOE</v>
          </cell>
          <cell r="D89">
            <v>20000</v>
          </cell>
        </row>
        <row r="90">
          <cell r="B90" t="str">
            <v>MARKET STORE  OLD PREMIER</v>
          </cell>
          <cell r="C90">
            <v>3111204</v>
          </cell>
          <cell r="D90">
            <v>4000000</v>
          </cell>
          <cell r="S90">
            <v>267497.33</v>
          </cell>
        </row>
        <row r="91">
          <cell r="B91" t="str">
            <v>Sub-Total</v>
          </cell>
          <cell r="D91">
            <v>4020000</v>
          </cell>
          <cell r="S91">
            <v>267497.33</v>
          </cell>
        </row>
        <row r="92">
          <cell r="B92" t="str">
            <v>GRAND TOTAL IGF</v>
          </cell>
          <cell r="D92">
            <v>7994356.5499999998</v>
          </cell>
          <cell r="F92">
            <v>205563.11000000002</v>
          </cell>
        </row>
      </sheetData>
      <sheetData sheetId="16">
        <row r="5">
          <cell r="A5" t="str">
            <v>Central Administration</v>
          </cell>
          <cell r="C5">
            <v>4329066.7200000007</v>
          </cell>
          <cell r="R5">
            <v>1332062.29</v>
          </cell>
        </row>
        <row r="6">
          <cell r="A6" t="str">
            <v>Human resource</v>
          </cell>
          <cell r="C6">
            <v>356612</v>
          </cell>
          <cell r="R6">
            <v>61017.21</v>
          </cell>
        </row>
        <row r="7">
          <cell r="A7" t="str">
            <v>Statistical Department</v>
          </cell>
          <cell r="C7">
            <v>101824.04</v>
          </cell>
          <cell r="R7">
            <v>19822.68</v>
          </cell>
        </row>
        <row r="8">
          <cell r="A8" t="str">
            <v>Environmental Health</v>
          </cell>
          <cell r="C8">
            <v>2492609.6799999997</v>
          </cell>
          <cell r="R8">
            <v>383981.85</v>
          </cell>
        </row>
        <row r="9">
          <cell r="A9" t="str">
            <v>Agric</v>
          </cell>
          <cell r="C9">
            <v>1604136.48</v>
          </cell>
          <cell r="R9">
            <v>324418.8</v>
          </cell>
        </row>
        <row r="10">
          <cell r="A10" t="str">
            <v>Physical Planning</v>
          </cell>
          <cell r="C10">
            <v>570434.12</v>
          </cell>
          <cell r="R10">
            <v>34628.129999999997</v>
          </cell>
        </row>
        <row r="11">
          <cell r="A11" t="str">
            <v>Social wefare &amp; PWD</v>
          </cell>
          <cell r="C11">
            <v>822371.83999999997</v>
          </cell>
          <cell r="R11">
            <v>0</v>
          </cell>
        </row>
        <row r="12">
          <cell r="A12" t="str">
            <v>Works</v>
          </cell>
          <cell r="C12">
            <v>880273.12</v>
          </cell>
          <cell r="R12">
            <v>172598.82</v>
          </cell>
        </row>
        <row r="13">
          <cell r="A13" t="str">
            <v>Urban Roads</v>
          </cell>
          <cell r="C13">
            <v>95000</v>
          </cell>
          <cell r="R13">
            <v>0</v>
          </cell>
        </row>
        <row r="14">
          <cell r="A14" t="str">
            <v>SUB-TOTAL</v>
          </cell>
          <cell r="C14">
            <v>11252327.999999998</v>
          </cell>
          <cell r="E14">
            <v>0</v>
          </cell>
          <cell r="R14">
            <v>2328529.7799999993</v>
          </cell>
        </row>
        <row r="15">
          <cell r="A15" t="str">
            <v>DACF-MAIN</v>
          </cell>
        </row>
        <row r="16">
          <cell r="A16" t="str">
            <v xml:space="preserve">GOODS AND SERVICES </v>
          </cell>
          <cell r="R16">
            <v>0</v>
          </cell>
        </row>
        <row r="17">
          <cell r="A17" t="str">
            <v xml:space="preserve">Public Education and Sensitization </v>
          </cell>
          <cell r="C17">
            <v>130000</v>
          </cell>
          <cell r="R17">
            <v>0</v>
          </cell>
        </row>
        <row r="18">
          <cell r="A18" t="str">
            <v xml:space="preserve">Local Travel Cost </v>
          </cell>
          <cell r="C18">
            <v>165000</v>
          </cell>
          <cell r="R18">
            <v>0</v>
          </cell>
        </row>
        <row r="19">
          <cell r="A19" t="str">
            <v>Staff Development</v>
          </cell>
          <cell r="C19">
            <v>100000</v>
          </cell>
          <cell r="R19">
            <v>0</v>
          </cell>
        </row>
        <row r="20">
          <cell r="A20" t="str">
            <v>Sem/Conf/workshp</v>
          </cell>
          <cell r="C20">
            <v>603000</v>
          </cell>
          <cell r="R20">
            <v>16000</v>
          </cell>
        </row>
        <row r="21">
          <cell r="A21" t="str">
            <v>Fuel and lubricant</v>
          </cell>
          <cell r="C21">
            <v>110000</v>
          </cell>
          <cell r="R21">
            <v>8209</v>
          </cell>
        </row>
        <row r="22">
          <cell r="A22" t="str">
            <v>Educational support</v>
          </cell>
          <cell r="C22">
            <v>120000</v>
          </cell>
          <cell r="R22">
            <v>0</v>
          </cell>
        </row>
        <row r="23">
          <cell r="A23" t="str">
            <v>Cleaning Materials</v>
          </cell>
          <cell r="C23">
            <v>40029</v>
          </cell>
          <cell r="R23">
            <v>0</v>
          </cell>
        </row>
        <row r="24">
          <cell r="A24" t="str">
            <v>Construction materials(CIP)ELECTROL AREAS</v>
          </cell>
          <cell r="C24">
            <v>240000</v>
          </cell>
          <cell r="R24">
            <v>0</v>
          </cell>
        </row>
        <row r="25">
          <cell r="A25" t="str">
            <v>Maintenance of Public facilities</v>
          </cell>
          <cell r="C25">
            <v>100000</v>
          </cell>
          <cell r="R25">
            <v>0</v>
          </cell>
        </row>
        <row r="26">
          <cell r="A26" t="str">
            <v>donation</v>
          </cell>
          <cell r="C26">
            <v>260000</v>
          </cell>
          <cell r="R26">
            <v>30400</v>
          </cell>
        </row>
        <row r="27">
          <cell r="A27" t="str">
            <v>official celebration</v>
          </cell>
          <cell r="C27">
            <v>100000</v>
          </cell>
          <cell r="R27">
            <v>25700</v>
          </cell>
        </row>
        <row r="28">
          <cell r="A28" t="str">
            <v>contribution</v>
          </cell>
          <cell r="C28">
            <v>250000</v>
          </cell>
          <cell r="R28">
            <v>33860.07</v>
          </cell>
        </row>
        <row r="29">
          <cell r="A29" t="str">
            <v>contract cleaning services chages (decution at source)</v>
          </cell>
          <cell r="C29">
            <v>14000</v>
          </cell>
          <cell r="R29">
            <v>0</v>
          </cell>
        </row>
        <row r="30">
          <cell r="A30" t="str">
            <v>Repairs of Schools/Colleges</v>
          </cell>
          <cell r="C30">
            <v>330000</v>
          </cell>
          <cell r="R30">
            <v>0</v>
          </cell>
        </row>
        <row r="31">
          <cell r="A31" t="str">
            <v>Repairs of official building</v>
          </cell>
          <cell r="C31">
            <v>260000</v>
          </cell>
          <cell r="R31">
            <v>0</v>
          </cell>
        </row>
        <row r="32">
          <cell r="A32" t="str">
            <v>Repairs and Maint. Of official vechicle</v>
          </cell>
          <cell r="C32">
            <v>8000</v>
          </cell>
          <cell r="R32">
            <v>20733.22</v>
          </cell>
        </row>
        <row r="33">
          <cell r="A33" t="str">
            <v>local consultancy</v>
          </cell>
          <cell r="C33">
            <v>15000</v>
          </cell>
        </row>
        <row r="34">
          <cell r="A34" t="str">
            <v>Sanitation chargs (deductions at source)</v>
          </cell>
          <cell r="C34">
            <v>200000</v>
          </cell>
          <cell r="R34">
            <v>0</v>
          </cell>
        </row>
        <row r="35">
          <cell r="A35" t="str">
            <v>Bank charges</v>
          </cell>
          <cell r="C35">
            <v>3000</v>
          </cell>
          <cell r="E35">
            <v>35</v>
          </cell>
          <cell r="R35">
            <v>745</v>
          </cell>
        </row>
        <row r="36">
          <cell r="A36" t="str">
            <v>TOTAL GOODS AND SERVICES</v>
          </cell>
          <cell r="C36">
            <v>3048029</v>
          </cell>
          <cell r="E36">
            <v>35</v>
          </cell>
          <cell r="R36">
            <v>135647.29</v>
          </cell>
        </row>
        <row r="37">
          <cell r="A37" t="str">
            <v>CAPITAL EXPENDITURE</v>
          </cell>
        </row>
        <row r="38">
          <cell r="A38" t="str">
            <v xml:space="preserve">Office equipment     </v>
          </cell>
          <cell r="C38">
            <v>260000</v>
          </cell>
          <cell r="R38">
            <v>0</v>
          </cell>
        </row>
        <row r="39">
          <cell r="A39" t="str">
            <v>ROADS</v>
          </cell>
          <cell r="C39">
            <v>140000</v>
          </cell>
          <cell r="R39">
            <v>0</v>
          </cell>
        </row>
        <row r="40">
          <cell r="A40" t="str">
            <v>WIP NHealth Centre at Oda Nkwanta</v>
          </cell>
          <cell r="C40">
            <v>45000</v>
          </cell>
          <cell r="R40">
            <v>0</v>
          </cell>
        </row>
        <row r="41">
          <cell r="A41" t="str">
            <v xml:space="preserve">Cemeteries Fencing at Oda </v>
          </cell>
          <cell r="C41">
            <v>150000</v>
          </cell>
          <cell r="R41">
            <v>0</v>
          </cell>
        </row>
        <row r="42">
          <cell r="A42" t="str">
            <v>Motor Vehicle</v>
          </cell>
          <cell r="C42">
            <v>160000</v>
          </cell>
          <cell r="R42">
            <v>0</v>
          </cell>
        </row>
        <row r="43">
          <cell r="A43" t="str">
            <v>TOTAL ASSETS</v>
          </cell>
          <cell r="C43">
            <v>755000</v>
          </cell>
          <cell r="E43">
            <v>0</v>
          </cell>
          <cell r="R43">
            <v>0</v>
          </cell>
        </row>
        <row r="44">
          <cell r="A44" t="str">
            <v>TOTAL DACF</v>
          </cell>
          <cell r="C44">
            <v>3803029</v>
          </cell>
          <cell r="E44">
            <v>35</v>
          </cell>
          <cell r="R44">
            <v>135647.29</v>
          </cell>
        </row>
        <row r="45">
          <cell r="A45" t="str">
            <v>DACF-MP</v>
          </cell>
        </row>
        <row r="46">
          <cell r="A46" t="str">
            <v xml:space="preserve">GOODS AND SERVICES </v>
          </cell>
        </row>
        <row r="47">
          <cell r="A47" t="str">
            <v>Sch. &amp; Bursaries (M.P. C.F.)</v>
          </cell>
          <cell r="C47">
            <v>100000</v>
          </cell>
          <cell r="R47">
            <v>19028.560000000001</v>
          </cell>
        </row>
        <row r="48">
          <cell r="A48" t="str">
            <v>Contribution(CIP for Electoral Area</v>
          </cell>
          <cell r="C48">
            <v>500000</v>
          </cell>
          <cell r="E48">
            <v>15894.7</v>
          </cell>
          <cell r="R48">
            <v>165894.70000000001</v>
          </cell>
        </row>
        <row r="49">
          <cell r="A49" t="str">
            <v>bank charges</v>
          </cell>
          <cell r="C49">
            <v>3000</v>
          </cell>
          <cell r="E49">
            <v>125</v>
          </cell>
          <cell r="R49">
            <v>615</v>
          </cell>
        </row>
        <row r="50">
          <cell r="A50" t="str">
            <v>TOTAL DACF-MP</v>
          </cell>
          <cell r="C50">
            <v>603000</v>
          </cell>
          <cell r="E50">
            <v>16019.7</v>
          </cell>
          <cell r="R50">
            <v>185538.26</v>
          </cell>
        </row>
        <row r="51">
          <cell r="A51" t="str">
            <v>MSHAP</v>
          </cell>
        </row>
        <row r="52">
          <cell r="A52" t="str">
            <v>Public Education</v>
          </cell>
          <cell r="C52">
            <v>80000</v>
          </cell>
          <cell r="R52">
            <v>0</v>
          </cell>
        </row>
        <row r="53">
          <cell r="A53" t="str">
            <v>bank charges</v>
          </cell>
          <cell r="E53">
            <v>6</v>
          </cell>
          <cell r="R53">
            <v>40</v>
          </cell>
        </row>
        <row r="54">
          <cell r="A54" t="str">
            <v>TOTAL</v>
          </cell>
          <cell r="C54">
            <v>80000</v>
          </cell>
          <cell r="E54">
            <v>6</v>
          </cell>
          <cell r="R54">
            <v>40</v>
          </cell>
        </row>
        <row r="55">
          <cell r="A55" t="str">
            <v>PWD</v>
          </cell>
          <cell r="R55">
            <v>0</v>
          </cell>
        </row>
        <row r="56">
          <cell r="A56" t="str">
            <v>Donation</v>
          </cell>
          <cell r="C56">
            <v>250000</v>
          </cell>
          <cell r="R56">
            <v>53861</v>
          </cell>
        </row>
        <row r="57">
          <cell r="A57" t="str">
            <v>bank charges</v>
          </cell>
          <cell r="E57">
            <v>35</v>
          </cell>
          <cell r="R57">
            <v>360</v>
          </cell>
        </row>
        <row r="58">
          <cell r="A58" t="str">
            <v>TOTAL</v>
          </cell>
          <cell r="C58">
            <v>250000</v>
          </cell>
          <cell r="D58">
            <v>0</v>
          </cell>
          <cell r="E58">
            <v>35</v>
          </cell>
          <cell r="H58">
            <v>53986</v>
          </cell>
          <cell r="R58">
            <v>54221</v>
          </cell>
        </row>
        <row r="59">
          <cell r="A59" t="str">
            <v>GOG-GOODS AND SERVICES</v>
          </cell>
          <cell r="R59">
            <v>0</v>
          </cell>
        </row>
        <row r="60">
          <cell r="A60" t="str">
            <v>Local travel cost</v>
          </cell>
          <cell r="C60">
            <v>88000</v>
          </cell>
          <cell r="R60">
            <v>0</v>
          </cell>
        </row>
        <row r="61">
          <cell r="A61" t="str">
            <v>local consultancy</v>
          </cell>
          <cell r="C61">
            <v>76400</v>
          </cell>
          <cell r="R61">
            <v>0</v>
          </cell>
        </row>
        <row r="62">
          <cell r="A62" t="str">
            <v>Staff Development</v>
          </cell>
          <cell r="C62">
            <v>33500</v>
          </cell>
        </row>
        <row r="63">
          <cell r="A63" t="str">
            <v>Water</v>
          </cell>
          <cell r="C63">
            <v>7000</v>
          </cell>
          <cell r="R63">
            <v>0</v>
          </cell>
        </row>
        <row r="64">
          <cell r="A64" t="str">
            <v>Maintenance and repeairs of official vehicle(DRIP)</v>
          </cell>
          <cell r="C64">
            <v>1508500</v>
          </cell>
          <cell r="R64">
            <v>0</v>
          </cell>
        </row>
        <row r="65">
          <cell r="A65" t="str">
            <v>Sem/Conf/workshp</v>
          </cell>
          <cell r="C65">
            <v>112400</v>
          </cell>
          <cell r="R65">
            <v>0</v>
          </cell>
        </row>
        <row r="66">
          <cell r="A66" t="str">
            <v>printed matereial</v>
          </cell>
          <cell r="C66">
            <v>15000</v>
          </cell>
          <cell r="R66">
            <v>0</v>
          </cell>
        </row>
        <row r="67">
          <cell r="A67" t="str">
            <v>Fuel and lubricant</v>
          </cell>
          <cell r="C67">
            <v>16000</v>
          </cell>
          <cell r="R67">
            <v>0</v>
          </cell>
        </row>
        <row r="68">
          <cell r="A68" t="str">
            <v>GOG ASSET</v>
          </cell>
        </row>
        <row r="69">
          <cell r="A69" t="str">
            <v>generators</v>
          </cell>
          <cell r="C69">
            <v>20000</v>
          </cell>
        </row>
        <row r="70">
          <cell r="A70" t="str">
            <v xml:space="preserve">Office equipment     </v>
          </cell>
          <cell r="C70">
            <v>73100</v>
          </cell>
          <cell r="R70">
            <v>0</v>
          </cell>
        </row>
        <row r="71">
          <cell r="A71" t="str">
            <v>SUB-TOTAL</v>
          </cell>
          <cell r="C71">
            <v>1949900</v>
          </cell>
          <cell r="E71">
            <v>0</v>
          </cell>
          <cell r="R71">
            <v>0</v>
          </cell>
        </row>
        <row r="72">
          <cell r="A72" t="str">
            <v>DISTRICT DEV. FUND(DDF)</v>
          </cell>
        </row>
        <row r="73">
          <cell r="A73" t="str">
            <v>CAPACITY</v>
          </cell>
          <cell r="R73">
            <v>0</v>
          </cell>
        </row>
        <row r="74">
          <cell r="A74" t="str">
            <v>instalation of street light</v>
          </cell>
          <cell r="C74">
            <v>170000</v>
          </cell>
        </row>
        <row r="75">
          <cell r="A75" t="str">
            <v>Staff development</v>
          </cell>
          <cell r="C75">
            <v>50000</v>
          </cell>
          <cell r="R75">
            <v>0</v>
          </cell>
        </row>
        <row r="76">
          <cell r="A76" t="str">
            <v>SUB-TOTAL</v>
          </cell>
          <cell r="C76">
            <v>220000</v>
          </cell>
          <cell r="E76">
            <v>0</v>
          </cell>
          <cell r="R76">
            <v>0</v>
          </cell>
        </row>
        <row r="77">
          <cell r="A77" t="str">
            <v>ASSET</v>
          </cell>
        </row>
        <row r="78">
          <cell r="A78" t="str">
            <v>const.1No Foot Bridge at Cocoa shed</v>
          </cell>
          <cell r="C78">
            <v>540000</v>
          </cell>
          <cell r="R78">
            <v>0</v>
          </cell>
        </row>
        <row r="79">
          <cell r="A79" t="str">
            <v xml:space="preserve">2No. Const. 6 Seater W/C toilet at YEBOA KROM </v>
          </cell>
          <cell r="C79">
            <v>800000</v>
          </cell>
          <cell r="R79">
            <v>0</v>
          </cell>
        </row>
        <row r="80">
          <cell r="A80" t="str">
            <v>Const.6-unit school Building at Presby, Akim Aboabo  and Supply of Furniture</v>
          </cell>
          <cell r="R80">
            <v>0</v>
          </cell>
        </row>
        <row r="81">
          <cell r="A81" t="str">
            <v>SUB-TOTAL-ASSET</v>
          </cell>
          <cell r="C81">
            <v>1340000</v>
          </cell>
          <cell r="E81">
            <v>0</v>
          </cell>
          <cell r="R81">
            <v>0</v>
          </cell>
        </row>
        <row r="82">
          <cell r="A82" t="str">
            <v>TOTAL</v>
          </cell>
          <cell r="C82">
            <v>1560000</v>
          </cell>
          <cell r="E82">
            <v>0</v>
          </cell>
          <cell r="R82">
            <v>0</v>
          </cell>
        </row>
        <row r="83">
          <cell r="A83" t="str">
            <v>UDG-GSCSP</v>
          </cell>
        </row>
        <row r="84">
          <cell r="A84" t="str">
            <v>CAPACITY</v>
          </cell>
        </row>
        <row r="85">
          <cell r="A85" t="str">
            <v>Staff development</v>
          </cell>
          <cell r="C85">
            <v>800000</v>
          </cell>
          <cell r="E85">
            <v>51400</v>
          </cell>
          <cell r="R85">
            <v>373499.88</v>
          </cell>
        </row>
        <row r="86">
          <cell r="A86" t="str">
            <v>supply of elecrical assories</v>
          </cell>
          <cell r="C86">
            <v>4417000</v>
          </cell>
        </row>
        <row r="87">
          <cell r="A87" t="str">
            <v>Other consultancy</v>
          </cell>
          <cell r="R87">
            <v>0</v>
          </cell>
        </row>
        <row r="88">
          <cell r="A88" t="str">
            <v>SUB-TOTAL</v>
          </cell>
          <cell r="C88">
            <v>5217000</v>
          </cell>
          <cell r="E88">
            <v>51400</v>
          </cell>
          <cell r="R88">
            <v>373499.88</v>
          </cell>
        </row>
        <row r="89">
          <cell r="A89" t="str">
            <v>ASSET</v>
          </cell>
        </row>
        <row r="90">
          <cell r="A90" t="str">
            <v>purchase of computer and assoseries</v>
          </cell>
          <cell r="C90">
            <v>500000</v>
          </cell>
        </row>
        <row r="91">
          <cell r="A91" t="str">
            <v>wip:const . 68 market store  and u drain iod premier to bongore stream</v>
          </cell>
          <cell r="C91">
            <v>600000</v>
          </cell>
        </row>
        <row r="92">
          <cell r="A92" t="str">
            <v>WIP: complet 102 market store and other facilities  at nkwantanum-2019 GSCSP</v>
          </cell>
          <cell r="C92">
            <v>500000</v>
          </cell>
          <cell r="R92">
            <v>0</v>
          </cell>
        </row>
        <row r="93">
          <cell r="A93" t="str">
            <v>Const. reinforce concreat open storm Drains at  Timber Market</v>
          </cell>
          <cell r="C93">
            <v>690120</v>
          </cell>
          <cell r="E93">
            <v>160575.28999999998</v>
          </cell>
          <cell r="R93">
            <v>160575.28999999998</v>
          </cell>
        </row>
        <row r="94">
          <cell r="A94" t="str">
            <v>Const. reinforce concreat open storm Drains at 1st star Junction</v>
          </cell>
          <cell r="C94">
            <v>5700760</v>
          </cell>
          <cell r="R94">
            <v>0</v>
          </cell>
        </row>
        <row r="95">
          <cell r="A95" t="str">
            <v>WIP: Precast Blook paving of Old premier Market and u drain-2020 GSCSP</v>
          </cell>
          <cell r="C95">
            <v>409272.9</v>
          </cell>
          <cell r="R95">
            <v>0</v>
          </cell>
        </row>
        <row r="96">
          <cell r="A96" t="str">
            <v>Bituminus surfacingof Joduro and O'Right raod</v>
          </cell>
          <cell r="C96">
            <v>2418340</v>
          </cell>
          <cell r="E96">
            <v>312034.84000000003</v>
          </cell>
          <cell r="R96">
            <v>312034.84000000003</v>
          </cell>
        </row>
        <row r="97">
          <cell r="A97" t="str">
            <v>Bituminus surfacingof Aboabo Mustard ,pentocost street with road sign and marking</v>
          </cell>
          <cell r="C97">
            <v>3154045</v>
          </cell>
          <cell r="E97">
            <v>298474.14</v>
          </cell>
        </row>
        <row r="98">
          <cell r="A98" t="str">
            <v xml:space="preserve">Bituminus surfacing of ODA METHODIST </v>
          </cell>
          <cell r="C98">
            <v>4768388</v>
          </cell>
          <cell r="E98">
            <v>2201569.46</v>
          </cell>
        </row>
        <row r="99">
          <cell r="A99" t="str">
            <v xml:space="preserve">Contruction second seal of nkwantanum road </v>
          </cell>
          <cell r="C99">
            <v>760000</v>
          </cell>
        </row>
        <row r="100">
          <cell r="A100" t="str">
            <v>SUB-TOTAL</v>
          </cell>
          <cell r="C100">
            <v>19500925.899999999</v>
          </cell>
          <cell r="E100">
            <v>2972653.73</v>
          </cell>
          <cell r="R100">
            <v>472610.13</v>
          </cell>
        </row>
        <row r="101">
          <cell r="A101" t="str">
            <v>TOTAL</v>
          </cell>
          <cell r="C101">
            <v>24717925.899999999</v>
          </cell>
          <cell r="E101">
            <v>3024053.73</v>
          </cell>
          <cell r="R101">
            <v>846110.01</v>
          </cell>
        </row>
        <row r="102">
          <cell r="A102" t="str">
            <v>TOTAL GRANT EXPENDITURE</v>
          </cell>
          <cell r="C102">
            <v>37577854.899999999</v>
          </cell>
          <cell r="F102">
            <v>104831</v>
          </cell>
          <cell r="R102">
            <v>1221556.56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 APPROPRIATION"/>
      <sheetName val="Table of Content"/>
      <sheetName val="BLSH3"/>
      <sheetName val="R &amp; E"/>
      <sheetName val="REPA (2)"/>
      <sheetName val="NOTES (2)"/>
      <sheetName val="BLSH 1"/>
      <sheetName val="cash flowi"/>
      <sheetName val="Rev TB"/>
      <sheetName val="Rev Fld"/>
      <sheetName val="IGF FIELD"/>
      <sheetName val="IGF TB"/>
      <sheetName val="GRANT-FIELD"/>
      <sheetName val="BANK SCHEDULE 2"/>
      <sheetName val="GRANT TB"/>
      <sheetName val="R&amp;E 1"/>
      <sheetName val="Sheet1"/>
      <sheetName val="REPA"/>
      <sheetName val="R&amp;E 2"/>
      <sheetName val="R&amp;E 3"/>
      <sheetName val="R&amp;E 2 (2)"/>
      <sheetName val="Cashflow "/>
      <sheetName val="LEDGERS"/>
      <sheetName val="Note index"/>
      <sheetName val="Policies"/>
      <sheetName val="JV"/>
      <sheetName val="TBAL_11"/>
      <sheetName val="charts"/>
      <sheetName val="Chart2"/>
      <sheetName val="ASSET"/>
      <sheetName val="NOTES"/>
      <sheetName val="schedule index"/>
      <sheetName val="Advances"/>
      <sheetName val="salary advances"/>
      <sheetName val="ADVANCES REVOL"/>
      <sheetName val="LOANS"/>
      <sheetName val="Investment"/>
      <sheetName val="Divested cos"/>
      <sheetName val="DOMESTIC DEBT "/>
      <sheetName val="DEBT STOCK "/>
      <sheetName val="DEPOSITS &amp; OTHER TRUST MONIES"/>
      <sheetName val="NET ACC. RESULTS"/>
      <sheetName val="GRANTS"/>
      <sheetName val="DEPOSITS"/>
      <sheetName val="OVERDUE1"/>
      <sheetName val="add. inf"/>
      <sheetName val="ASSETS Trend"/>
      <sheetName val="Rev &amp; Expen-trend"/>
      <sheetName val="Rev &amp; Exp Charts"/>
      <sheetName val="REV &amp; EXP TREND"/>
      <sheetName val="POVERTY &amp; HIPC"/>
      <sheetName val=" MMDA reports"/>
      <sheetName val="BSHEET"/>
      <sheetName val="CASH FLOW"/>
      <sheetName val="WIP"/>
      <sheetName val="Sheet2"/>
      <sheetName val="Sheet3"/>
      <sheetName val="RECON. ACC 1"/>
      <sheetName val="OUTST. LEDGERS"/>
      <sheetName val="UNCRED. CHEQ"/>
      <sheetName val="OUTST. BK CREDIT"/>
      <sheetName val="UNPRES. CHEQ"/>
      <sheetName val="RECON. ACC. 2"/>
      <sheetName val="UNPRE. CHEQ.02"/>
      <sheetName val="RECON. ACC 3"/>
      <sheetName val="UNCRED. 3"/>
      <sheetName val="UNPRESENTED"/>
      <sheetName val="RECON. ACC 4"/>
      <sheetName val="UNPRESENTED 4"/>
      <sheetName val="DACF MAIN"/>
      <sheetName val="UNPRESENTED DACF"/>
      <sheetName val="covid -19"/>
      <sheetName val="PWD RECON"/>
      <sheetName val="PWD UNPRESENTED"/>
      <sheetName val="MP COMON FUND"/>
      <sheetName val="UNPRESENTED  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A3" t="str">
            <v>COMPENSATION</v>
          </cell>
        </row>
        <row r="4">
          <cell r="A4" t="str">
            <v>Establish Post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E695-CE74-4676-9663-4B0C3315F4E6}">
  <dimension ref="A1:R108"/>
  <sheetViews>
    <sheetView topLeftCell="A69" workbookViewId="0">
      <selection sqref="A1:R107"/>
    </sheetView>
  </sheetViews>
  <sheetFormatPr defaultRowHeight="15" x14ac:dyDescent="0.25"/>
  <cols>
    <col min="1" max="1" width="49" bestFit="1" customWidth="1"/>
    <col min="3" max="3" width="17.5703125" bestFit="1" customWidth="1"/>
    <col min="5" max="5" width="14.28515625" bestFit="1" customWidth="1"/>
    <col min="6" max="9" width="9.140625" hidden="1" customWidth="1"/>
    <col min="10" max="10" width="14.28515625" bestFit="1" customWidth="1"/>
    <col min="11" max="17" width="9.140625" hidden="1" customWidth="1"/>
    <col min="18" max="18" width="14.28515625" bestFit="1" customWidth="1"/>
  </cols>
  <sheetData>
    <row r="1" spans="1:18" ht="76.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25">
      <c r="A2" s="8"/>
      <c r="B2" s="9"/>
      <c r="C2" s="10"/>
      <c r="D2" s="11"/>
      <c r="E2" s="12">
        <f ca="1">E2</f>
        <v>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1:18" ht="25.5" x14ac:dyDescent="0.25">
      <c r="A3" s="14" t="s">
        <v>18</v>
      </c>
      <c r="B3" s="9">
        <v>1412023</v>
      </c>
      <c r="C3" s="15">
        <v>7500</v>
      </c>
      <c r="D3" s="16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3">
        <f>SUM(F3:Q3)</f>
        <v>0</v>
      </c>
    </row>
    <row r="4" spans="1:18" ht="25.5" x14ac:dyDescent="0.25">
      <c r="A4" s="14" t="s">
        <v>19</v>
      </c>
      <c r="B4" s="9">
        <v>1413001</v>
      </c>
      <c r="C4" s="15">
        <v>852360</v>
      </c>
      <c r="D4" s="19"/>
      <c r="E4" s="17">
        <v>47911</v>
      </c>
      <c r="F4" s="17">
        <v>2100</v>
      </c>
      <c r="G4" s="17">
        <v>26015</v>
      </c>
      <c r="H4" s="17"/>
      <c r="I4" s="17">
        <v>16652</v>
      </c>
      <c r="J4" s="17">
        <v>47911</v>
      </c>
      <c r="K4" s="17"/>
      <c r="L4" s="17"/>
      <c r="M4" s="17"/>
      <c r="N4" s="17"/>
      <c r="O4" s="17"/>
      <c r="P4" s="17"/>
      <c r="Q4" s="17"/>
      <c r="R4" s="13">
        <f t="shared" ref="R4:R67" si="0">SUM(F4:Q4)</f>
        <v>92678</v>
      </c>
    </row>
    <row r="5" spans="1:18" ht="38.25" x14ac:dyDescent="0.25">
      <c r="A5" s="14" t="s">
        <v>20</v>
      </c>
      <c r="B5" s="9">
        <v>1412031</v>
      </c>
      <c r="C5" s="15">
        <f>401000</f>
        <v>401000</v>
      </c>
      <c r="D5" s="20"/>
      <c r="E5" s="17"/>
      <c r="F5" s="17">
        <v>12858</v>
      </c>
      <c r="G5" s="17"/>
      <c r="H5" s="17">
        <v>36305</v>
      </c>
      <c r="I5" s="17"/>
      <c r="J5" s="17"/>
      <c r="K5" s="17"/>
      <c r="L5" s="17"/>
      <c r="M5" s="17"/>
      <c r="N5" s="17"/>
      <c r="O5" s="17"/>
      <c r="P5" s="17"/>
      <c r="Q5" s="17"/>
      <c r="R5" s="13">
        <f t="shared" si="0"/>
        <v>49163</v>
      </c>
    </row>
    <row r="6" spans="1:18" ht="25.5" x14ac:dyDescent="0.25">
      <c r="A6" s="21" t="s">
        <v>21</v>
      </c>
      <c r="B6" s="9">
        <v>1413003</v>
      </c>
      <c r="C6" s="20"/>
      <c r="D6" s="19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3">
        <f t="shared" si="0"/>
        <v>0</v>
      </c>
    </row>
    <row r="7" spans="1:18" ht="25.5" x14ac:dyDescent="0.25">
      <c r="A7" s="22" t="s">
        <v>22</v>
      </c>
      <c r="B7" s="23"/>
      <c r="C7" s="24">
        <f>SUM(C3:C6)</f>
        <v>1260860</v>
      </c>
      <c r="D7" s="25">
        <f t="shared" ref="D7:Q7" si="1">SUM(D3:D6)</f>
        <v>0</v>
      </c>
      <c r="E7" s="24">
        <f t="shared" si="1"/>
        <v>47911</v>
      </c>
      <c r="F7" s="24">
        <f t="shared" si="1"/>
        <v>14958</v>
      </c>
      <c r="G7" s="24">
        <f t="shared" si="1"/>
        <v>26015</v>
      </c>
      <c r="H7" s="24">
        <f t="shared" si="1"/>
        <v>36305</v>
      </c>
      <c r="I7" s="24">
        <f t="shared" si="1"/>
        <v>16652</v>
      </c>
      <c r="J7" s="24">
        <f t="shared" si="1"/>
        <v>47911</v>
      </c>
      <c r="K7" s="24">
        <f t="shared" si="1"/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0</v>
      </c>
      <c r="P7" s="24">
        <f t="shared" si="1"/>
        <v>0</v>
      </c>
      <c r="Q7" s="24">
        <f t="shared" si="1"/>
        <v>0</v>
      </c>
      <c r="R7" s="26">
        <f>SUM(R3:R6)</f>
        <v>141841</v>
      </c>
    </row>
    <row r="8" spans="1:18" x14ac:dyDescent="0.25">
      <c r="A8" s="27"/>
      <c r="B8" s="28"/>
      <c r="C8" s="29"/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13">
        <f t="shared" si="0"/>
        <v>0</v>
      </c>
    </row>
    <row r="9" spans="1:18" ht="51" x14ac:dyDescent="0.25">
      <c r="A9" s="32" t="s">
        <v>23</v>
      </c>
      <c r="B9" s="28"/>
      <c r="C9" s="15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13">
        <f t="shared" si="0"/>
        <v>0</v>
      </c>
    </row>
    <row r="10" spans="1:18" ht="38.25" x14ac:dyDescent="0.25">
      <c r="A10" s="8" t="s">
        <v>24</v>
      </c>
      <c r="B10" s="28">
        <v>1412003</v>
      </c>
      <c r="C10" s="15">
        <v>100756</v>
      </c>
      <c r="D10" s="33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13">
        <f>SUM(F10:Q10)</f>
        <v>0</v>
      </c>
    </row>
    <row r="11" spans="1:18" ht="38.25" x14ac:dyDescent="0.25">
      <c r="A11" s="8" t="s">
        <v>25</v>
      </c>
      <c r="B11" s="9">
        <v>1412004</v>
      </c>
      <c r="C11" s="35">
        <v>17968.5</v>
      </c>
      <c r="D11" s="19"/>
      <c r="E11" s="17"/>
      <c r="F11" s="17">
        <v>1100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3">
        <f t="shared" si="0"/>
        <v>1100</v>
      </c>
    </row>
    <row r="12" spans="1:18" ht="38.25" x14ac:dyDescent="0.25">
      <c r="A12" s="8" t="s">
        <v>26</v>
      </c>
      <c r="B12" s="9">
        <v>1412007</v>
      </c>
      <c r="C12" s="35">
        <v>189115.74</v>
      </c>
      <c r="D12" s="19"/>
      <c r="E12" s="36">
        <v>1700</v>
      </c>
      <c r="F12" s="36">
        <v>9985</v>
      </c>
      <c r="G12" s="36">
        <v>7141.7</v>
      </c>
      <c r="H12" s="36">
        <v>11261</v>
      </c>
      <c r="I12" s="36">
        <v>12495</v>
      </c>
      <c r="J12" s="36">
        <v>1700</v>
      </c>
      <c r="K12" s="17"/>
      <c r="L12" s="17"/>
      <c r="M12" s="17"/>
      <c r="N12" s="17"/>
      <c r="O12" s="17"/>
      <c r="P12" s="17"/>
      <c r="Q12" s="17"/>
      <c r="R12" s="13">
        <f t="shared" si="0"/>
        <v>42582.7</v>
      </c>
    </row>
    <row r="13" spans="1:18" ht="89.25" x14ac:dyDescent="0.25">
      <c r="A13" s="8" t="s">
        <v>27</v>
      </c>
      <c r="B13" s="37">
        <v>1412009</v>
      </c>
      <c r="C13" s="35">
        <v>35680</v>
      </c>
      <c r="D13" s="19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3">
        <f t="shared" si="0"/>
        <v>0</v>
      </c>
    </row>
    <row r="14" spans="1:18" ht="25.5" x14ac:dyDescent="0.25">
      <c r="A14" s="22" t="s">
        <v>22</v>
      </c>
      <c r="B14" s="23"/>
      <c r="C14" s="38">
        <f>SUM(C10:C13)</f>
        <v>343520.24</v>
      </c>
      <c r="D14" s="38">
        <f t="shared" ref="D14:Q14" si="2">SUM(D10:D13)</f>
        <v>0</v>
      </c>
      <c r="E14" s="38">
        <f t="shared" ref="E14:J14" si="3">SUM(E11:E13)</f>
        <v>1700</v>
      </c>
      <c r="F14" s="38">
        <f t="shared" si="3"/>
        <v>11085</v>
      </c>
      <c r="G14" s="38">
        <f t="shared" si="3"/>
        <v>7141.7</v>
      </c>
      <c r="H14" s="38">
        <f t="shared" si="3"/>
        <v>11261</v>
      </c>
      <c r="I14" s="38">
        <f t="shared" si="3"/>
        <v>12495</v>
      </c>
      <c r="J14" s="38">
        <f t="shared" si="3"/>
        <v>1700</v>
      </c>
      <c r="K14" s="38">
        <f t="shared" si="2"/>
        <v>0</v>
      </c>
      <c r="L14" s="38">
        <f t="shared" si="2"/>
        <v>0</v>
      </c>
      <c r="M14" s="38">
        <f t="shared" si="2"/>
        <v>0</v>
      </c>
      <c r="N14" s="38">
        <f t="shared" si="2"/>
        <v>0</v>
      </c>
      <c r="O14" s="38">
        <f t="shared" si="2"/>
        <v>0</v>
      </c>
      <c r="P14" s="38">
        <f t="shared" si="2"/>
        <v>0</v>
      </c>
      <c r="Q14" s="38">
        <f t="shared" si="2"/>
        <v>0</v>
      </c>
      <c r="R14" s="26">
        <f>SUM(R8:R13)</f>
        <v>43682.7</v>
      </c>
    </row>
    <row r="15" spans="1:18" x14ac:dyDescent="0.25">
      <c r="A15" s="32"/>
      <c r="B15" s="28"/>
      <c r="C15" s="35"/>
      <c r="D15" s="39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3">
        <f t="shared" si="0"/>
        <v>0</v>
      </c>
    </row>
    <row r="16" spans="1:18" ht="114.75" x14ac:dyDescent="0.25">
      <c r="A16" s="32" t="s">
        <v>28</v>
      </c>
      <c r="B16" s="40"/>
      <c r="C16" s="35"/>
      <c r="D16" s="39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3">
        <f t="shared" si="0"/>
        <v>0</v>
      </c>
    </row>
    <row r="17" spans="1:18" ht="76.5" x14ac:dyDescent="0.25">
      <c r="A17" s="8" t="s">
        <v>29</v>
      </c>
      <c r="B17" s="37">
        <v>1415038</v>
      </c>
      <c r="C17" s="35">
        <v>15840</v>
      </c>
      <c r="D17" s="19"/>
      <c r="E17" s="17"/>
      <c r="F17" s="17">
        <v>23000</v>
      </c>
      <c r="G17" s="17">
        <v>5000</v>
      </c>
      <c r="H17" s="17"/>
      <c r="I17" s="17">
        <v>20221</v>
      </c>
      <c r="J17" s="17"/>
      <c r="K17" s="17"/>
      <c r="L17" s="17"/>
      <c r="M17" s="17"/>
      <c r="N17" s="17"/>
      <c r="O17" s="17"/>
      <c r="P17" s="17"/>
      <c r="Q17" s="17"/>
      <c r="R17" s="13">
        <f t="shared" si="0"/>
        <v>48221</v>
      </c>
    </row>
    <row r="18" spans="1:18" ht="51" x14ac:dyDescent="0.25">
      <c r="A18" s="41" t="s">
        <v>30</v>
      </c>
      <c r="B18" s="42">
        <v>1415012</v>
      </c>
      <c r="C18" s="43">
        <f>216000+102000+50000+4108279.27</f>
        <v>4476279.2699999996</v>
      </c>
      <c r="D18" s="39"/>
      <c r="E18" s="44">
        <v>6920</v>
      </c>
      <c r="F18" s="44">
        <f>7350+38000+800+70000+40000</f>
        <v>156150</v>
      </c>
      <c r="G18" s="44">
        <v>14670</v>
      </c>
      <c r="H18" s="44">
        <f>9372+69000</f>
        <v>78372</v>
      </c>
      <c r="I18" s="44">
        <v>11140</v>
      </c>
      <c r="J18" s="44">
        <v>6920</v>
      </c>
      <c r="K18" s="44"/>
      <c r="L18" s="44"/>
      <c r="M18" s="44"/>
      <c r="N18" s="44"/>
      <c r="O18" s="44"/>
      <c r="P18" s="44"/>
      <c r="Q18" s="44"/>
      <c r="R18" s="45">
        <f t="shared" si="0"/>
        <v>267252</v>
      </c>
    </row>
    <row r="19" spans="1:18" ht="63.75" x14ac:dyDescent="0.25">
      <c r="A19" s="8" t="s">
        <v>31</v>
      </c>
      <c r="B19" s="37">
        <v>1415058</v>
      </c>
      <c r="C19" s="35">
        <v>158400</v>
      </c>
      <c r="D19" s="19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3">
        <f t="shared" si="0"/>
        <v>0</v>
      </c>
    </row>
    <row r="20" spans="1:18" ht="25.5" x14ac:dyDescent="0.25">
      <c r="A20" s="22" t="s">
        <v>22</v>
      </c>
      <c r="B20" s="23"/>
      <c r="C20" s="38">
        <f>SUM(C17:C19)</f>
        <v>4650519.2699999996</v>
      </c>
      <c r="D20" s="46">
        <f t="shared" ref="D20:Q20" si="4">SUM(D17:D19)</f>
        <v>0</v>
      </c>
      <c r="E20" s="38">
        <f t="shared" si="4"/>
        <v>6920</v>
      </c>
      <c r="F20" s="38">
        <f t="shared" si="4"/>
        <v>179150</v>
      </c>
      <c r="G20" s="38">
        <f t="shared" si="4"/>
        <v>19670</v>
      </c>
      <c r="H20" s="38">
        <f t="shared" si="4"/>
        <v>78372</v>
      </c>
      <c r="I20" s="38">
        <f t="shared" si="4"/>
        <v>31361</v>
      </c>
      <c r="J20" s="38">
        <f t="shared" si="4"/>
        <v>6920</v>
      </c>
      <c r="K20" s="38">
        <f t="shared" si="4"/>
        <v>0</v>
      </c>
      <c r="L20" s="38">
        <f t="shared" si="4"/>
        <v>0</v>
      </c>
      <c r="M20" s="38">
        <f t="shared" si="4"/>
        <v>0</v>
      </c>
      <c r="N20" s="38">
        <f t="shared" si="4"/>
        <v>0</v>
      </c>
      <c r="O20" s="38">
        <f t="shared" si="4"/>
        <v>0</v>
      </c>
      <c r="P20" s="38">
        <f t="shared" si="4"/>
        <v>0</v>
      </c>
      <c r="Q20" s="38">
        <f t="shared" si="4"/>
        <v>0</v>
      </c>
      <c r="R20" s="26">
        <f>SUM(R15:R19)</f>
        <v>315473</v>
      </c>
    </row>
    <row r="21" spans="1:18" x14ac:dyDescent="0.25">
      <c r="A21" s="8"/>
      <c r="B21" s="9"/>
      <c r="C21" s="35"/>
      <c r="D21" s="3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3">
        <f t="shared" si="0"/>
        <v>0</v>
      </c>
    </row>
    <row r="22" spans="1:18" x14ac:dyDescent="0.25">
      <c r="A22" s="32" t="s">
        <v>32</v>
      </c>
      <c r="B22" s="28"/>
      <c r="C22" s="35"/>
      <c r="D22" s="39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3">
        <f t="shared" si="0"/>
        <v>0</v>
      </c>
    </row>
    <row r="23" spans="1:18" ht="76.5" x14ac:dyDescent="0.25">
      <c r="A23" s="8" t="s">
        <v>33</v>
      </c>
      <c r="B23" s="9">
        <v>1430010</v>
      </c>
      <c r="C23" s="35">
        <v>2530</v>
      </c>
      <c r="D23" s="19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3">
        <f t="shared" si="0"/>
        <v>0</v>
      </c>
    </row>
    <row r="24" spans="1:18" x14ac:dyDescent="0.25">
      <c r="A24" s="36" t="s">
        <v>34</v>
      </c>
      <c r="B24" s="47">
        <v>143006</v>
      </c>
      <c r="C24" s="48">
        <v>4605.0200000000004</v>
      </c>
      <c r="D24" s="19"/>
      <c r="E24" s="17">
        <v>420</v>
      </c>
      <c r="F24" s="17">
        <v>63</v>
      </c>
      <c r="G24" s="17">
        <v>126</v>
      </c>
      <c r="H24" s="17"/>
      <c r="I24" s="17">
        <v>94</v>
      </c>
      <c r="J24" s="17">
        <v>420</v>
      </c>
      <c r="K24" s="17"/>
      <c r="L24" s="17"/>
      <c r="M24" s="17"/>
      <c r="N24" s="17"/>
      <c r="O24" s="17"/>
      <c r="P24" s="17"/>
      <c r="Q24" s="17"/>
      <c r="R24" s="13">
        <f t="shared" si="0"/>
        <v>703</v>
      </c>
    </row>
    <row r="25" spans="1:18" ht="76.5" x14ac:dyDescent="0.25">
      <c r="A25" s="8" t="s">
        <v>35</v>
      </c>
      <c r="B25" s="37">
        <v>143007</v>
      </c>
      <c r="C25" s="35">
        <v>4400</v>
      </c>
      <c r="D25" s="19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3">
        <f t="shared" si="0"/>
        <v>0</v>
      </c>
    </row>
    <row r="26" spans="1:18" ht="63.75" x14ac:dyDescent="0.25">
      <c r="A26" s="8" t="s">
        <v>36</v>
      </c>
      <c r="B26" s="9">
        <v>143001</v>
      </c>
      <c r="C26" s="35">
        <v>2839.1</v>
      </c>
      <c r="D26" s="19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3">
        <f t="shared" si="0"/>
        <v>0</v>
      </c>
    </row>
    <row r="27" spans="1:18" ht="25.5" x14ac:dyDescent="0.25">
      <c r="A27" s="22" t="s">
        <v>22</v>
      </c>
      <c r="B27" s="23"/>
      <c r="C27" s="24">
        <f>SUM(C23:C26)</f>
        <v>14374.12</v>
      </c>
      <c r="D27" s="25">
        <f t="shared" ref="D27:Q27" si="5">SUM(D23:D26)</f>
        <v>0</v>
      </c>
      <c r="E27" s="24">
        <f t="shared" si="5"/>
        <v>420</v>
      </c>
      <c r="F27" s="24">
        <f>SUM(F23:F26)</f>
        <v>63</v>
      </c>
      <c r="G27" s="24">
        <f>SUM(G23:G26)</f>
        <v>126</v>
      </c>
      <c r="H27" s="24">
        <f>SUM(H23:H26)</f>
        <v>0</v>
      </c>
      <c r="I27" s="24">
        <f>SUM(I23:I26)</f>
        <v>94</v>
      </c>
      <c r="J27" s="24">
        <f>SUM(J23:J26)</f>
        <v>420</v>
      </c>
      <c r="K27" s="24">
        <f t="shared" si="5"/>
        <v>0</v>
      </c>
      <c r="L27" s="24">
        <f t="shared" si="5"/>
        <v>0</v>
      </c>
      <c r="M27" s="24">
        <f t="shared" si="5"/>
        <v>0</v>
      </c>
      <c r="N27" s="24">
        <f t="shared" si="5"/>
        <v>0</v>
      </c>
      <c r="O27" s="24">
        <f t="shared" si="5"/>
        <v>0</v>
      </c>
      <c r="P27" s="24">
        <f t="shared" si="5"/>
        <v>0</v>
      </c>
      <c r="Q27" s="24">
        <f t="shared" si="5"/>
        <v>0</v>
      </c>
      <c r="R27" s="26">
        <f>SUM(R21:R26)</f>
        <v>703</v>
      </c>
    </row>
    <row r="28" spans="1:18" x14ac:dyDescent="0.25">
      <c r="A28" s="32"/>
      <c r="B28" s="28"/>
      <c r="C28" s="49"/>
      <c r="D28" s="3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13">
        <f t="shared" si="0"/>
        <v>0</v>
      </c>
    </row>
    <row r="29" spans="1:18" ht="25.5" x14ac:dyDescent="0.25">
      <c r="A29" s="32" t="s">
        <v>37</v>
      </c>
      <c r="B29" s="28"/>
      <c r="C29" s="15"/>
      <c r="D29" s="39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3">
        <f t="shared" si="0"/>
        <v>0</v>
      </c>
    </row>
    <row r="30" spans="1:18" x14ac:dyDescent="0.25">
      <c r="A30" s="36" t="s">
        <v>38</v>
      </c>
      <c r="B30" s="51">
        <v>1412009</v>
      </c>
      <c r="C30" s="52">
        <f>35680-10000</f>
        <v>25680</v>
      </c>
      <c r="D30" s="39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3">
        <f t="shared" si="0"/>
        <v>0</v>
      </c>
    </row>
    <row r="31" spans="1:18" x14ac:dyDescent="0.25">
      <c r="A31" s="36" t="s">
        <v>39</v>
      </c>
      <c r="B31" s="51">
        <v>1422002</v>
      </c>
      <c r="C31" s="53">
        <v>5600</v>
      </c>
      <c r="D31" s="19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3">
        <f t="shared" si="0"/>
        <v>0</v>
      </c>
    </row>
    <row r="32" spans="1:18" x14ac:dyDescent="0.25">
      <c r="A32" s="36" t="s">
        <v>40</v>
      </c>
      <c r="B32" s="51">
        <v>1422005</v>
      </c>
      <c r="C32" s="53">
        <v>6720</v>
      </c>
      <c r="D32" s="19"/>
      <c r="E32" s="17"/>
      <c r="F32" s="17">
        <v>300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3">
        <f t="shared" si="0"/>
        <v>300</v>
      </c>
    </row>
    <row r="33" spans="1:18" x14ac:dyDescent="0.25">
      <c r="A33" s="36" t="s">
        <v>41</v>
      </c>
      <c r="B33" s="51">
        <v>1422006</v>
      </c>
      <c r="C33" s="53">
        <v>2655.4</v>
      </c>
      <c r="D33" s="19"/>
      <c r="E33" s="17"/>
      <c r="F33" s="17">
        <v>300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3">
        <f t="shared" si="0"/>
        <v>300</v>
      </c>
    </row>
    <row r="34" spans="1:18" x14ac:dyDescent="0.25">
      <c r="A34" s="36" t="s">
        <v>42</v>
      </c>
      <c r="B34" s="51">
        <v>1422011</v>
      </c>
      <c r="C34" s="53">
        <v>195000</v>
      </c>
      <c r="D34" s="19"/>
      <c r="E34" s="17">
        <v>16629</v>
      </c>
      <c r="F34" s="17">
        <v>4168</v>
      </c>
      <c r="G34" s="17">
        <v>2430</v>
      </c>
      <c r="H34" s="17">
        <v>14246</v>
      </c>
      <c r="I34" s="17">
        <v>13553</v>
      </c>
      <c r="J34" s="17">
        <v>16629</v>
      </c>
      <c r="K34" s="17"/>
      <c r="L34" s="17"/>
      <c r="M34" s="17"/>
      <c r="N34" s="17"/>
      <c r="O34" s="17"/>
      <c r="P34" s="17"/>
      <c r="Q34" s="17"/>
      <c r="R34" s="13">
        <f t="shared" si="0"/>
        <v>51026</v>
      </c>
    </row>
    <row r="35" spans="1:18" x14ac:dyDescent="0.25">
      <c r="A35" s="36" t="s">
        <v>43</v>
      </c>
      <c r="B35" s="51">
        <v>1422012</v>
      </c>
      <c r="C35" s="53">
        <v>54615</v>
      </c>
      <c r="D35" s="19"/>
      <c r="E35" s="17"/>
      <c r="F35" s="17"/>
      <c r="G35" s="17"/>
      <c r="H35" s="17"/>
      <c r="I35" s="17">
        <v>6681.26</v>
      </c>
      <c r="J35" s="17"/>
      <c r="K35" s="17"/>
      <c r="L35" s="17"/>
      <c r="M35" s="17"/>
      <c r="N35" s="17"/>
      <c r="O35" s="17"/>
      <c r="P35" s="17"/>
      <c r="Q35" s="17"/>
      <c r="R35" s="13">
        <f t="shared" si="0"/>
        <v>6681.26</v>
      </c>
    </row>
    <row r="36" spans="1:18" x14ac:dyDescent="0.25">
      <c r="A36" s="36" t="s">
        <v>44</v>
      </c>
      <c r="B36" s="51">
        <v>1422015</v>
      </c>
      <c r="C36" s="54">
        <v>54485</v>
      </c>
      <c r="D36" s="19"/>
      <c r="E36" s="17"/>
      <c r="F36" s="17"/>
      <c r="G36" s="17"/>
      <c r="H36" s="17">
        <v>4885.7299999999996</v>
      </c>
      <c r="I36" s="17"/>
      <c r="J36" s="17"/>
      <c r="K36" s="17"/>
      <c r="L36" s="17"/>
      <c r="M36" s="17"/>
      <c r="N36" s="17"/>
      <c r="O36" s="17"/>
      <c r="P36" s="17"/>
      <c r="Q36" s="17"/>
      <c r="R36" s="13">
        <f t="shared" si="0"/>
        <v>4885.7299999999996</v>
      </c>
    </row>
    <row r="37" spans="1:18" x14ac:dyDescent="0.25">
      <c r="A37" s="36" t="s">
        <v>45</v>
      </c>
      <c r="B37" s="51">
        <v>1422017</v>
      </c>
      <c r="C37" s="53">
        <v>12150</v>
      </c>
      <c r="D37" s="19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3">
        <f t="shared" si="0"/>
        <v>0</v>
      </c>
    </row>
    <row r="38" spans="1:18" x14ac:dyDescent="0.25">
      <c r="A38" s="36" t="s">
        <v>46</v>
      </c>
      <c r="B38" s="51">
        <v>1422115</v>
      </c>
      <c r="C38" s="53">
        <f>3600</f>
        <v>3600</v>
      </c>
      <c r="D38" s="19"/>
      <c r="E38" s="17"/>
      <c r="F38" s="17">
        <v>1000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3">
        <f t="shared" si="0"/>
        <v>1000</v>
      </c>
    </row>
    <row r="39" spans="1:18" x14ac:dyDescent="0.25">
      <c r="A39" s="36" t="s">
        <v>47</v>
      </c>
      <c r="B39" s="51">
        <v>1422018</v>
      </c>
      <c r="C39" s="53">
        <v>10672.2</v>
      </c>
      <c r="D39" s="19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3">
        <f t="shared" si="0"/>
        <v>0</v>
      </c>
    </row>
    <row r="40" spans="1:18" x14ac:dyDescent="0.25">
      <c r="A40" s="36" t="s">
        <v>48</v>
      </c>
      <c r="B40" s="51">
        <v>1422019</v>
      </c>
      <c r="C40" s="53">
        <v>36757</v>
      </c>
      <c r="D40" s="19"/>
      <c r="E40" s="17"/>
      <c r="F40" s="17">
        <v>300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3">
        <f t="shared" si="0"/>
        <v>300</v>
      </c>
    </row>
    <row r="41" spans="1:18" x14ac:dyDescent="0.25">
      <c r="A41" s="36" t="s">
        <v>49</v>
      </c>
      <c r="B41" s="51">
        <v>1422020</v>
      </c>
      <c r="C41" s="53">
        <v>40000</v>
      </c>
      <c r="D41" s="19"/>
      <c r="E41" s="17">
        <v>530</v>
      </c>
      <c r="F41" s="17">
        <v>13045</v>
      </c>
      <c r="G41" s="17">
        <v>1733</v>
      </c>
      <c r="H41" s="17">
        <v>3714</v>
      </c>
      <c r="I41" s="17">
        <v>1080</v>
      </c>
      <c r="J41" s="17">
        <v>530</v>
      </c>
      <c r="K41" s="17"/>
      <c r="L41" s="17"/>
      <c r="M41" s="17"/>
      <c r="N41" s="17"/>
      <c r="O41" s="17"/>
      <c r="P41" s="17"/>
      <c r="Q41" s="17"/>
      <c r="R41" s="13">
        <f t="shared" si="0"/>
        <v>20102</v>
      </c>
    </row>
    <row r="42" spans="1:18" x14ac:dyDescent="0.25">
      <c r="A42" s="36" t="s">
        <v>50</v>
      </c>
      <c r="B42" s="51">
        <v>1422022</v>
      </c>
      <c r="C42" s="55"/>
      <c r="D42" s="19"/>
      <c r="E42" s="17"/>
      <c r="F42" s="17" t="s">
        <v>51</v>
      </c>
      <c r="G42" s="17">
        <v>1000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3">
        <f t="shared" si="0"/>
        <v>1000</v>
      </c>
    </row>
    <row r="43" spans="1:18" x14ac:dyDescent="0.25">
      <c r="A43" s="36" t="s">
        <v>52</v>
      </c>
      <c r="B43" s="51">
        <v>1422023</v>
      </c>
      <c r="C43" s="53">
        <v>1030.92</v>
      </c>
      <c r="D43" s="19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3">
        <f t="shared" si="0"/>
        <v>0</v>
      </c>
    </row>
    <row r="44" spans="1:18" x14ac:dyDescent="0.25">
      <c r="A44" s="36" t="s">
        <v>53</v>
      </c>
      <c r="B44" s="51">
        <v>1422025</v>
      </c>
      <c r="C44" s="53">
        <v>447</v>
      </c>
      <c r="D44" s="19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3">
        <f t="shared" si="0"/>
        <v>0</v>
      </c>
    </row>
    <row r="45" spans="1:18" x14ac:dyDescent="0.25">
      <c r="A45" s="36" t="s">
        <v>54</v>
      </c>
      <c r="B45" s="51">
        <v>1422026</v>
      </c>
      <c r="C45" s="53">
        <v>8953.0499999999993</v>
      </c>
      <c r="D45" s="19"/>
      <c r="E45" s="17"/>
      <c r="F45" s="17"/>
      <c r="G45" s="17"/>
      <c r="H45" s="17"/>
      <c r="I45" s="17">
        <v>2984.02</v>
      </c>
      <c r="J45" s="17"/>
      <c r="K45" s="17"/>
      <c r="L45" s="17"/>
      <c r="M45" s="17"/>
      <c r="N45" s="17"/>
      <c r="O45" s="17"/>
      <c r="P45" s="17"/>
      <c r="Q45" s="17"/>
      <c r="R45" s="13">
        <f t="shared" si="0"/>
        <v>2984.02</v>
      </c>
    </row>
    <row r="46" spans="1:18" x14ac:dyDescent="0.25">
      <c r="A46" s="36" t="s">
        <v>55</v>
      </c>
      <c r="B46" s="51">
        <v>1422030</v>
      </c>
      <c r="C46" s="53">
        <v>2492</v>
      </c>
      <c r="D46" s="19"/>
      <c r="E46" s="17"/>
      <c r="F46" s="17">
        <v>300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3">
        <f t="shared" si="0"/>
        <v>300</v>
      </c>
    </row>
    <row r="47" spans="1:18" x14ac:dyDescent="0.25">
      <c r="A47" s="36" t="s">
        <v>56</v>
      </c>
      <c r="B47" s="51">
        <v>1422039</v>
      </c>
      <c r="C47" s="53">
        <v>4166.8</v>
      </c>
      <c r="D47" s="19"/>
      <c r="E47" s="17"/>
      <c r="F47" s="17">
        <v>300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3">
        <f t="shared" si="0"/>
        <v>300</v>
      </c>
    </row>
    <row r="48" spans="1:18" x14ac:dyDescent="0.25">
      <c r="A48" s="36" t="s">
        <v>57</v>
      </c>
      <c r="B48" s="51">
        <v>1422044</v>
      </c>
      <c r="C48" s="53">
        <f>105680+1824-14724.8</f>
        <v>92779.199999999997</v>
      </c>
      <c r="D48" s="19"/>
      <c r="E48" s="17">
        <v>22324.639999999999</v>
      </c>
      <c r="F48" s="17">
        <v>11368.98</v>
      </c>
      <c r="G48" s="17">
        <v>20579</v>
      </c>
      <c r="H48" s="17">
        <v>25660.63</v>
      </c>
      <c r="I48" s="17">
        <v>21219.23</v>
      </c>
      <c r="J48" s="17">
        <v>22324.639999999999</v>
      </c>
      <c r="K48" s="17"/>
      <c r="L48" s="17"/>
      <c r="M48" s="17"/>
      <c r="N48" s="17"/>
      <c r="O48" s="17"/>
      <c r="P48" s="17"/>
      <c r="Q48" s="17"/>
      <c r="R48" s="13">
        <f t="shared" si="0"/>
        <v>101152.48</v>
      </c>
    </row>
    <row r="49" spans="1:18" x14ac:dyDescent="0.25">
      <c r="A49" s="36" t="s">
        <v>58</v>
      </c>
      <c r="B49" s="51">
        <v>1422053</v>
      </c>
      <c r="C49" s="53">
        <v>3529.2</v>
      </c>
      <c r="D49" s="19"/>
      <c r="E49" s="17"/>
      <c r="F49" s="17">
        <v>300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3">
        <f t="shared" si="0"/>
        <v>300</v>
      </c>
    </row>
    <row r="50" spans="1:18" x14ac:dyDescent="0.25">
      <c r="A50" s="36" t="s">
        <v>59</v>
      </c>
      <c r="B50" s="51">
        <v>1422054</v>
      </c>
      <c r="C50" s="53">
        <v>1650</v>
      </c>
      <c r="D50" s="19"/>
      <c r="E50" s="17"/>
      <c r="F50" s="17">
        <v>300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3">
        <f t="shared" si="0"/>
        <v>300</v>
      </c>
    </row>
    <row r="51" spans="1:18" x14ac:dyDescent="0.25">
      <c r="A51" s="36" t="s">
        <v>60</v>
      </c>
      <c r="B51" s="51">
        <v>1422123</v>
      </c>
      <c r="C51" s="53">
        <v>3850.5</v>
      </c>
      <c r="D51" s="19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3">
        <f t="shared" si="0"/>
        <v>0</v>
      </c>
    </row>
    <row r="52" spans="1:18" x14ac:dyDescent="0.25">
      <c r="A52" s="36" t="s">
        <v>61</v>
      </c>
      <c r="B52" s="51">
        <v>1422055</v>
      </c>
      <c r="C52" s="53">
        <v>4800</v>
      </c>
      <c r="D52" s="19"/>
      <c r="E52" s="17"/>
      <c r="F52" s="17">
        <v>300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3">
        <f t="shared" si="0"/>
        <v>300</v>
      </c>
    </row>
    <row r="53" spans="1:18" x14ac:dyDescent="0.25">
      <c r="A53" s="36" t="s">
        <v>62</v>
      </c>
      <c r="B53" s="51">
        <v>1422057</v>
      </c>
      <c r="C53" s="53">
        <v>10800</v>
      </c>
      <c r="D53" s="19"/>
      <c r="E53" s="17"/>
      <c r="F53" s="17"/>
      <c r="G53" s="17">
        <v>2000</v>
      </c>
      <c r="H53" s="17">
        <v>1200</v>
      </c>
      <c r="I53" s="17">
        <v>400</v>
      </c>
      <c r="J53" s="17"/>
      <c r="K53" s="17"/>
      <c r="L53" s="17"/>
      <c r="M53" s="17"/>
      <c r="N53" s="17"/>
      <c r="O53" s="17"/>
      <c r="P53" s="17"/>
      <c r="Q53" s="17"/>
      <c r="R53" s="13">
        <f t="shared" si="0"/>
        <v>3600</v>
      </c>
    </row>
    <row r="54" spans="1:18" x14ac:dyDescent="0.25">
      <c r="A54" s="36" t="s">
        <v>63</v>
      </c>
      <c r="B54" s="51">
        <v>1422059</v>
      </c>
      <c r="C54" s="53">
        <v>120000</v>
      </c>
      <c r="D54" s="19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3">
        <f t="shared" si="0"/>
        <v>0</v>
      </c>
    </row>
    <row r="55" spans="1:18" x14ac:dyDescent="0.25">
      <c r="A55" s="36" t="s">
        <v>64</v>
      </c>
      <c r="B55" s="51">
        <v>1422067</v>
      </c>
      <c r="C55" s="53">
        <v>20175</v>
      </c>
      <c r="D55" s="19"/>
      <c r="E55" s="17"/>
      <c r="F55" s="17">
        <v>300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3">
        <f t="shared" si="0"/>
        <v>300</v>
      </c>
    </row>
    <row r="56" spans="1:18" ht="51.75" x14ac:dyDescent="0.25">
      <c r="A56" s="56" t="s">
        <v>65</v>
      </c>
      <c r="B56" s="51">
        <v>1423323</v>
      </c>
      <c r="C56" s="53">
        <v>10672</v>
      </c>
      <c r="D56" s="39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3">
        <f t="shared" si="0"/>
        <v>0</v>
      </c>
    </row>
    <row r="57" spans="1:18" x14ac:dyDescent="0.25">
      <c r="A57" s="57" t="s">
        <v>66</v>
      </c>
      <c r="B57" s="51">
        <v>1423010</v>
      </c>
      <c r="C57" s="53">
        <v>18000</v>
      </c>
      <c r="D57" s="39"/>
      <c r="E57" s="17"/>
      <c r="F57" s="17">
        <v>150</v>
      </c>
      <c r="G57" s="17">
        <v>205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3">
        <f t="shared" si="0"/>
        <v>355</v>
      </c>
    </row>
    <row r="58" spans="1:18" x14ac:dyDescent="0.25">
      <c r="A58" s="36" t="s">
        <v>67</v>
      </c>
      <c r="B58" s="51">
        <v>1423078</v>
      </c>
      <c r="C58" s="53">
        <f>30000</f>
        <v>30000</v>
      </c>
      <c r="D58" s="19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3">
        <f t="shared" si="0"/>
        <v>0</v>
      </c>
    </row>
    <row r="59" spans="1:18" x14ac:dyDescent="0.25">
      <c r="A59" s="36" t="s">
        <v>68</v>
      </c>
      <c r="B59" s="51">
        <v>1423087</v>
      </c>
      <c r="C59" s="53">
        <v>242</v>
      </c>
      <c r="D59" s="19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3">
        <f t="shared" si="0"/>
        <v>0</v>
      </c>
    </row>
    <row r="60" spans="1:18" x14ac:dyDescent="0.25">
      <c r="A60" s="36" t="s">
        <v>69</v>
      </c>
      <c r="B60" s="51">
        <v>1423092</v>
      </c>
      <c r="C60" s="53">
        <f>3675-18</f>
        <v>3657</v>
      </c>
      <c r="D60" s="34"/>
      <c r="E60" s="17"/>
      <c r="F60" s="17">
        <v>300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3">
        <f t="shared" si="0"/>
        <v>300</v>
      </c>
    </row>
    <row r="61" spans="1:18" x14ac:dyDescent="0.25">
      <c r="A61" s="36" t="s">
        <v>70</v>
      </c>
      <c r="B61" s="51">
        <v>1423415</v>
      </c>
      <c r="C61" s="53">
        <v>13286</v>
      </c>
      <c r="D61" s="19"/>
      <c r="E61" s="17"/>
      <c r="F61" s="17"/>
      <c r="G61" s="17">
        <v>1000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3">
        <f t="shared" si="0"/>
        <v>1000</v>
      </c>
    </row>
    <row r="62" spans="1:18" x14ac:dyDescent="0.25">
      <c r="A62" s="36" t="s">
        <v>71</v>
      </c>
      <c r="B62" s="51">
        <v>1423486</v>
      </c>
      <c r="C62" s="53">
        <v>5875</v>
      </c>
      <c r="D62" s="19"/>
      <c r="E62" s="17"/>
      <c r="F62" s="17">
        <v>300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3">
        <f t="shared" si="0"/>
        <v>300</v>
      </c>
    </row>
    <row r="63" spans="1:18" x14ac:dyDescent="0.25">
      <c r="A63" s="36" t="s">
        <v>72</v>
      </c>
      <c r="B63" s="51">
        <v>1423527</v>
      </c>
      <c r="C63" s="53">
        <v>2100</v>
      </c>
      <c r="D63" s="19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3">
        <f t="shared" si="0"/>
        <v>0</v>
      </c>
    </row>
    <row r="64" spans="1:18" x14ac:dyDescent="0.25">
      <c r="A64" s="36" t="s">
        <v>73</v>
      </c>
      <c r="B64" s="51">
        <v>1423787</v>
      </c>
      <c r="C64" s="53">
        <v>1980</v>
      </c>
      <c r="D64" s="19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3">
        <f t="shared" si="0"/>
        <v>0</v>
      </c>
    </row>
    <row r="65" spans="1:18" x14ac:dyDescent="0.25">
      <c r="A65" s="36" t="s">
        <v>74</v>
      </c>
      <c r="B65" s="51">
        <v>1423807</v>
      </c>
      <c r="C65" s="53">
        <v>53400</v>
      </c>
      <c r="D65" s="19"/>
      <c r="E65" s="44">
        <v>6057</v>
      </c>
      <c r="F65" s="17">
        <v>2045</v>
      </c>
      <c r="G65" s="17">
        <v>2595</v>
      </c>
      <c r="H65" s="17">
        <v>4305</v>
      </c>
      <c r="I65" s="17">
        <v>2906</v>
      </c>
      <c r="J65" s="44">
        <v>6057</v>
      </c>
      <c r="K65" s="17"/>
      <c r="L65" s="17"/>
      <c r="M65" s="17"/>
      <c r="N65" s="17"/>
      <c r="O65" s="17"/>
      <c r="P65" s="17"/>
      <c r="Q65" s="17"/>
      <c r="R65" s="13">
        <f t="shared" si="0"/>
        <v>17908</v>
      </c>
    </row>
    <row r="66" spans="1:18" ht="25.5" x14ac:dyDescent="0.25">
      <c r="A66" s="22" t="s">
        <v>22</v>
      </c>
      <c r="B66" s="23"/>
      <c r="C66" s="24">
        <f>SUM(C30:C65)</f>
        <v>861820.2699999999</v>
      </c>
      <c r="D66" s="24">
        <f t="shared" ref="D66:Q66" si="6">SUM(D30:D65)</f>
        <v>0</v>
      </c>
      <c r="E66" s="24">
        <f t="shared" si="6"/>
        <v>45540.639999999999</v>
      </c>
      <c r="F66" s="24">
        <f t="shared" si="6"/>
        <v>35076.979999999996</v>
      </c>
      <c r="G66" s="24">
        <f t="shared" si="6"/>
        <v>31542</v>
      </c>
      <c r="H66" s="24">
        <f t="shared" si="6"/>
        <v>54011.360000000001</v>
      </c>
      <c r="I66" s="24">
        <f t="shared" si="6"/>
        <v>48823.51</v>
      </c>
      <c r="J66" s="24">
        <f t="shared" si="6"/>
        <v>45540.639999999999</v>
      </c>
      <c r="K66" s="24">
        <f t="shared" si="6"/>
        <v>0</v>
      </c>
      <c r="L66" s="24">
        <f t="shared" si="6"/>
        <v>0</v>
      </c>
      <c r="M66" s="24">
        <f t="shared" si="6"/>
        <v>0</v>
      </c>
      <c r="N66" s="24">
        <f t="shared" si="6"/>
        <v>0</v>
      </c>
      <c r="O66" s="24">
        <f t="shared" si="6"/>
        <v>0</v>
      </c>
      <c r="P66" s="24">
        <f t="shared" si="6"/>
        <v>0</v>
      </c>
      <c r="Q66" s="24">
        <f t="shared" si="6"/>
        <v>0</v>
      </c>
      <c r="R66" s="26">
        <f>SUM(R28:R65)</f>
        <v>214994.49</v>
      </c>
    </row>
    <row r="67" spans="1:18" ht="15.75" x14ac:dyDescent="0.25">
      <c r="A67" s="58" t="s">
        <v>75</v>
      </c>
      <c r="B67" s="28"/>
      <c r="C67" s="59"/>
      <c r="D67" s="3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13">
        <f t="shared" si="0"/>
        <v>0</v>
      </c>
    </row>
    <row r="68" spans="1:18" x14ac:dyDescent="0.25">
      <c r="A68" s="36" t="s">
        <v>76</v>
      </c>
      <c r="B68" s="51">
        <v>1422075</v>
      </c>
      <c r="C68" s="53">
        <v>2685</v>
      </c>
      <c r="D68" s="19"/>
      <c r="E68" s="34"/>
      <c r="F68" s="34">
        <v>300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13">
        <f t="shared" ref="R68:R106" si="7">SUM(F68:Q68)</f>
        <v>300</v>
      </c>
    </row>
    <row r="69" spans="1:18" x14ac:dyDescent="0.25">
      <c r="A69" s="36" t="s">
        <v>77</v>
      </c>
      <c r="B69" s="51">
        <v>1423001</v>
      </c>
      <c r="C69" s="53">
        <v>328000</v>
      </c>
      <c r="D69" s="19"/>
      <c r="E69" s="17">
        <v>19698</v>
      </c>
      <c r="F69" s="17">
        <v>13490</v>
      </c>
      <c r="G69" s="17">
        <v>19170</v>
      </c>
      <c r="H69" s="17">
        <v>16300</v>
      </c>
      <c r="I69" s="17">
        <v>21404</v>
      </c>
      <c r="J69" s="17">
        <v>19698</v>
      </c>
      <c r="K69" s="17"/>
      <c r="L69" s="17"/>
      <c r="M69" s="17"/>
      <c r="N69" s="17"/>
      <c r="O69" s="17"/>
      <c r="P69" s="17"/>
      <c r="Q69" s="17"/>
      <c r="R69" s="13">
        <f t="shared" si="7"/>
        <v>90062</v>
      </c>
    </row>
    <row r="70" spans="1:18" x14ac:dyDescent="0.25">
      <c r="A70" s="36" t="s">
        <v>78</v>
      </c>
      <c r="B70" s="51">
        <v>1423002</v>
      </c>
      <c r="C70" s="53">
        <v>3932.5</v>
      </c>
      <c r="D70" s="19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3">
        <f t="shared" si="7"/>
        <v>0</v>
      </c>
    </row>
    <row r="71" spans="1:18" x14ac:dyDescent="0.25">
      <c r="A71" s="36" t="s">
        <v>79</v>
      </c>
      <c r="B71" s="51">
        <v>1423004</v>
      </c>
      <c r="C71" s="53">
        <v>3990</v>
      </c>
      <c r="D71" s="19"/>
      <c r="E71" s="17"/>
      <c r="F71" s="17">
        <v>300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3">
        <f t="shared" si="7"/>
        <v>300</v>
      </c>
    </row>
    <row r="72" spans="1:18" x14ac:dyDescent="0.25">
      <c r="A72" s="36" t="s">
        <v>80</v>
      </c>
      <c r="B72" s="51">
        <v>1423005</v>
      </c>
      <c r="C72" s="53">
        <v>3500</v>
      </c>
      <c r="D72" s="19"/>
      <c r="E72" s="17"/>
      <c r="F72" s="17">
        <v>2127.6999999999998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3">
        <f t="shared" si="7"/>
        <v>2127.6999999999998</v>
      </c>
    </row>
    <row r="73" spans="1:18" x14ac:dyDescent="0.25">
      <c r="A73" s="36" t="s">
        <v>81</v>
      </c>
      <c r="B73" s="51">
        <v>1423006</v>
      </c>
      <c r="C73" s="53">
        <v>110000</v>
      </c>
      <c r="D73" s="19"/>
      <c r="E73" s="17">
        <v>10940</v>
      </c>
      <c r="F73" s="17">
        <v>10720</v>
      </c>
      <c r="G73" s="17">
        <v>5480</v>
      </c>
      <c r="H73" s="17">
        <v>4560</v>
      </c>
      <c r="I73" s="17">
        <v>14280</v>
      </c>
      <c r="J73" s="17">
        <v>10940</v>
      </c>
      <c r="K73" s="17"/>
      <c r="L73" s="17"/>
      <c r="M73" s="17"/>
      <c r="N73" s="17"/>
      <c r="O73" s="17"/>
      <c r="P73" s="17"/>
      <c r="Q73" s="17"/>
      <c r="R73" s="13">
        <f t="shared" si="7"/>
        <v>45980</v>
      </c>
    </row>
    <row r="74" spans="1:18" x14ac:dyDescent="0.25">
      <c r="A74" s="36" t="s">
        <v>82</v>
      </c>
      <c r="B74" s="51">
        <v>1423009</v>
      </c>
      <c r="C74" s="53">
        <v>10000</v>
      </c>
      <c r="D74" s="19"/>
      <c r="E74" s="17">
        <v>3495.8</v>
      </c>
      <c r="F74" s="17">
        <v>500</v>
      </c>
      <c r="G74" s="17">
        <v>3940.81</v>
      </c>
      <c r="H74" s="17">
        <v>11210</v>
      </c>
      <c r="I74" s="17">
        <v>3578.48</v>
      </c>
      <c r="J74" s="17">
        <v>3495.8</v>
      </c>
      <c r="K74" s="17"/>
      <c r="L74" s="17"/>
      <c r="M74" s="17"/>
      <c r="N74" s="17"/>
      <c r="O74" s="17"/>
      <c r="P74" s="17"/>
      <c r="Q74" s="17"/>
      <c r="R74" s="13">
        <f t="shared" si="7"/>
        <v>22725.09</v>
      </c>
    </row>
    <row r="75" spans="1:18" x14ac:dyDescent="0.25">
      <c r="A75" s="36" t="s">
        <v>83</v>
      </c>
      <c r="B75" s="51">
        <v>1423012</v>
      </c>
      <c r="C75" s="53">
        <v>12000</v>
      </c>
      <c r="D75" s="19"/>
      <c r="E75" s="17">
        <v>4380</v>
      </c>
      <c r="F75" s="17">
        <v>800</v>
      </c>
      <c r="G75" s="17"/>
      <c r="H75" s="17"/>
      <c r="I75" s="17">
        <v>1060</v>
      </c>
      <c r="J75" s="17">
        <v>4380</v>
      </c>
      <c r="K75" s="17"/>
      <c r="L75" s="17"/>
      <c r="M75" s="17"/>
      <c r="N75" s="17"/>
      <c r="O75" s="17"/>
      <c r="P75" s="17"/>
      <c r="Q75" s="17"/>
      <c r="R75" s="13">
        <f t="shared" si="7"/>
        <v>6240</v>
      </c>
    </row>
    <row r="76" spans="1:18" x14ac:dyDescent="0.25">
      <c r="A76" s="60" t="s">
        <v>84</v>
      </c>
      <c r="B76" s="61">
        <v>1423191</v>
      </c>
      <c r="C76" s="62">
        <v>3000</v>
      </c>
      <c r="D76" s="63"/>
      <c r="E76" s="64">
        <v>4500</v>
      </c>
      <c r="F76" s="64"/>
      <c r="G76" s="64">
        <v>1600</v>
      </c>
      <c r="H76" s="64">
        <v>2600</v>
      </c>
      <c r="I76" s="64">
        <v>2500</v>
      </c>
      <c r="J76" s="64">
        <v>4500</v>
      </c>
      <c r="K76" s="64"/>
      <c r="L76" s="64"/>
      <c r="M76" s="64"/>
      <c r="N76" s="64"/>
      <c r="O76" s="64"/>
      <c r="P76" s="64"/>
      <c r="Q76" s="64"/>
      <c r="R76" s="13">
        <f t="shared" si="7"/>
        <v>11200</v>
      </c>
    </row>
    <row r="77" spans="1:18" x14ac:dyDescent="0.25">
      <c r="A77" s="36" t="s">
        <v>85</v>
      </c>
      <c r="B77" s="51">
        <v>1423337</v>
      </c>
      <c r="C77" s="53">
        <v>1936</v>
      </c>
      <c r="D77" s="19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3">
        <f t="shared" si="7"/>
        <v>0</v>
      </c>
    </row>
    <row r="78" spans="1:18" x14ac:dyDescent="0.25">
      <c r="A78" s="36" t="s">
        <v>86</v>
      </c>
      <c r="B78" s="51">
        <v>1423367</v>
      </c>
      <c r="C78" s="53">
        <v>270000</v>
      </c>
      <c r="D78" s="19"/>
      <c r="E78" s="17">
        <v>24455</v>
      </c>
      <c r="F78" s="17">
        <v>24867</v>
      </c>
      <c r="G78" s="17">
        <v>19688</v>
      </c>
      <c r="H78" s="17">
        <v>25260</v>
      </c>
      <c r="I78" s="17">
        <v>23692</v>
      </c>
      <c r="J78" s="17">
        <v>24455</v>
      </c>
      <c r="K78" s="17"/>
      <c r="L78" s="17"/>
      <c r="M78" s="17"/>
      <c r="N78" s="17"/>
      <c r="O78" s="17"/>
      <c r="P78" s="17"/>
      <c r="Q78" s="17"/>
      <c r="R78" s="13">
        <f t="shared" si="7"/>
        <v>117962</v>
      </c>
    </row>
    <row r="79" spans="1:18" x14ac:dyDescent="0.25">
      <c r="A79" s="36" t="s">
        <v>87</v>
      </c>
      <c r="B79" s="51">
        <v>1423408</v>
      </c>
      <c r="C79" s="53">
        <v>2964.15</v>
      </c>
      <c r="D79" s="19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3">
        <f t="shared" si="7"/>
        <v>0</v>
      </c>
    </row>
    <row r="80" spans="1:18" x14ac:dyDescent="0.25">
      <c r="A80" s="36" t="s">
        <v>88</v>
      </c>
      <c r="B80" s="51">
        <v>1423541</v>
      </c>
      <c r="C80" s="53">
        <v>11253</v>
      </c>
      <c r="D80" s="19"/>
      <c r="E80" s="65">
        <v>2000</v>
      </c>
      <c r="F80" s="17"/>
      <c r="G80" s="17"/>
      <c r="H80" s="65"/>
      <c r="I80" s="65"/>
      <c r="J80" s="65">
        <v>2000</v>
      </c>
      <c r="K80" s="17"/>
      <c r="L80" s="17"/>
      <c r="M80" s="17"/>
      <c r="N80" s="17"/>
      <c r="O80" s="17"/>
      <c r="P80" s="17"/>
      <c r="Q80" s="17"/>
      <c r="R80" s="13">
        <f t="shared" si="7"/>
        <v>2000</v>
      </c>
    </row>
    <row r="81" spans="1:18" x14ac:dyDescent="0.25">
      <c r="A81" s="57" t="s">
        <v>89</v>
      </c>
      <c r="B81" s="66">
        <v>1423590</v>
      </c>
      <c r="C81" s="55"/>
      <c r="D81" s="34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3">
        <f t="shared" si="7"/>
        <v>0</v>
      </c>
    </row>
    <row r="82" spans="1:18" x14ac:dyDescent="0.25">
      <c r="A82" s="57" t="s">
        <v>90</v>
      </c>
      <c r="B82" s="66"/>
      <c r="C82" s="53">
        <v>40001</v>
      </c>
      <c r="D82" s="34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13">
        <f t="shared" si="7"/>
        <v>0</v>
      </c>
    </row>
    <row r="83" spans="1:18" ht="25.5" x14ac:dyDescent="0.25">
      <c r="A83" s="22" t="s">
        <v>22</v>
      </c>
      <c r="B83" s="68"/>
      <c r="C83" s="69">
        <f>SUM(C68:C82)</f>
        <v>803261.65</v>
      </c>
      <c r="D83" s="69">
        <f t="shared" ref="D83:Q83" si="8">SUM(D68:D82)</f>
        <v>0</v>
      </c>
      <c r="E83" s="69">
        <f t="shared" si="8"/>
        <v>69468.800000000003</v>
      </c>
      <c r="F83" s="69">
        <f t="shared" si="8"/>
        <v>53104.7</v>
      </c>
      <c r="G83" s="69">
        <f t="shared" si="8"/>
        <v>49878.81</v>
      </c>
      <c r="H83" s="69">
        <f t="shared" si="8"/>
        <v>59930</v>
      </c>
      <c r="I83" s="69">
        <f t="shared" si="8"/>
        <v>66514.48000000001</v>
      </c>
      <c r="J83" s="69">
        <f t="shared" si="8"/>
        <v>69468.800000000003</v>
      </c>
      <c r="K83" s="69">
        <f t="shared" si="8"/>
        <v>0</v>
      </c>
      <c r="L83" s="69">
        <f t="shared" si="8"/>
        <v>0</v>
      </c>
      <c r="M83" s="69">
        <f t="shared" si="8"/>
        <v>0</v>
      </c>
      <c r="N83" s="69">
        <f t="shared" si="8"/>
        <v>0</v>
      </c>
      <c r="O83" s="69">
        <f t="shared" si="8"/>
        <v>0</v>
      </c>
      <c r="P83" s="69">
        <f t="shared" si="8"/>
        <v>0</v>
      </c>
      <c r="Q83" s="69">
        <f t="shared" si="8"/>
        <v>0</v>
      </c>
      <c r="R83" s="26">
        <f>SUM(R67:R82)</f>
        <v>298896.79000000004</v>
      </c>
    </row>
    <row r="84" spans="1:18" ht="51" x14ac:dyDescent="0.25">
      <c r="A84" s="70" t="s">
        <v>91</v>
      </c>
      <c r="B84" s="66"/>
      <c r="C84" s="7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13"/>
      <c r="R84" s="13"/>
    </row>
    <row r="85" spans="1:18" ht="105" x14ac:dyDescent="0.25">
      <c r="A85" s="72" t="s">
        <v>92</v>
      </c>
      <c r="B85" s="73">
        <v>1450007</v>
      </c>
      <c r="C85" s="74">
        <v>60001</v>
      </c>
      <c r="D85" s="75"/>
      <c r="E85" s="75"/>
      <c r="F85" s="76"/>
      <c r="G85" s="76"/>
      <c r="H85" s="75"/>
      <c r="I85" s="75"/>
      <c r="J85" s="75"/>
      <c r="K85" s="76"/>
      <c r="L85" s="76"/>
      <c r="M85" s="76"/>
      <c r="N85" s="76"/>
      <c r="O85" s="76"/>
      <c r="P85" s="76"/>
      <c r="Q85" s="76"/>
      <c r="R85" s="13">
        <f t="shared" si="7"/>
        <v>0</v>
      </c>
    </row>
    <row r="86" spans="1:18" ht="15.75" thickBot="1" x14ac:dyDescent="0.3">
      <c r="A86" s="77" t="s">
        <v>93</v>
      </c>
      <c r="B86" s="78"/>
      <c r="C86" s="79">
        <f>SUM(C85)</f>
        <v>60001</v>
      </c>
      <c r="D86" s="79">
        <f t="shared" ref="D86:Q86" si="9">SUM(D85)</f>
        <v>0</v>
      </c>
      <c r="E86" s="79">
        <f t="shared" si="9"/>
        <v>0</v>
      </c>
      <c r="F86" s="80">
        <f t="shared" si="9"/>
        <v>0</v>
      </c>
      <c r="G86" s="80">
        <f t="shared" si="9"/>
        <v>0</v>
      </c>
      <c r="H86" s="79">
        <f t="shared" si="9"/>
        <v>0</v>
      </c>
      <c r="I86" s="79">
        <f t="shared" si="9"/>
        <v>0</v>
      </c>
      <c r="J86" s="79">
        <f t="shared" si="9"/>
        <v>0</v>
      </c>
      <c r="K86" s="80">
        <f t="shared" si="9"/>
        <v>0</v>
      </c>
      <c r="L86" s="80">
        <f t="shared" si="9"/>
        <v>0</v>
      </c>
      <c r="M86" s="80">
        <f t="shared" si="9"/>
        <v>0</v>
      </c>
      <c r="N86" s="80">
        <f t="shared" si="9"/>
        <v>0</v>
      </c>
      <c r="O86" s="80">
        <f t="shared" si="9"/>
        <v>0</v>
      </c>
      <c r="P86" s="80">
        <f t="shared" si="9"/>
        <v>0</v>
      </c>
      <c r="Q86" s="80">
        <f t="shared" si="9"/>
        <v>0</v>
      </c>
      <c r="R86" s="26">
        <f>SUM(R85)</f>
        <v>0</v>
      </c>
    </row>
    <row r="87" spans="1:18" ht="63.75" thickBot="1" x14ac:dyDescent="0.3">
      <c r="A87" s="81" t="s">
        <v>94</v>
      </c>
      <c r="B87" s="82"/>
      <c r="C87" s="83">
        <f>C86+C83+C66+C27+C20+C14+C7</f>
        <v>7994356.5499999998</v>
      </c>
      <c r="D87" s="84">
        <f t="shared" ref="D87:Q87" si="10">D86+D83+D66+D27+D20+D14+D7</f>
        <v>0</v>
      </c>
      <c r="E87" s="84">
        <f t="shared" si="10"/>
        <v>171960.44</v>
      </c>
      <c r="F87" s="84">
        <f t="shared" si="10"/>
        <v>293437.68</v>
      </c>
      <c r="G87" s="84">
        <f t="shared" si="10"/>
        <v>134373.51</v>
      </c>
      <c r="H87" s="84">
        <f t="shared" si="10"/>
        <v>239879.36</v>
      </c>
      <c r="I87" s="84">
        <f t="shared" si="10"/>
        <v>175939.99000000002</v>
      </c>
      <c r="J87" s="84">
        <f t="shared" si="10"/>
        <v>171960.44</v>
      </c>
      <c r="K87" s="84">
        <f t="shared" si="10"/>
        <v>0</v>
      </c>
      <c r="L87" s="84">
        <f t="shared" si="10"/>
        <v>0</v>
      </c>
      <c r="M87" s="84">
        <f t="shared" si="10"/>
        <v>0</v>
      </c>
      <c r="N87" s="84">
        <f t="shared" si="10"/>
        <v>0</v>
      </c>
      <c r="O87" s="84">
        <f t="shared" si="10"/>
        <v>0</v>
      </c>
      <c r="P87" s="84">
        <f t="shared" si="10"/>
        <v>0</v>
      </c>
      <c r="Q87" s="85">
        <f t="shared" si="10"/>
        <v>0</v>
      </c>
      <c r="R87" s="86">
        <f>R86+R83+R66+R27+R20+R14+R7</f>
        <v>1015590.98</v>
      </c>
    </row>
    <row r="88" spans="1:18" x14ac:dyDescent="0.25">
      <c r="A88" s="70"/>
      <c r="B88" s="40"/>
      <c r="C88" s="87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13">
        <f t="shared" si="7"/>
        <v>0</v>
      </c>
    </row>
    <row r="89" spans="1:18" ht="38.25" x14ac:dyDescent="0.25">
      <c r="A89" s="89" t="s">
        <v>95</v>
      </c>
      <c r="B89" s="40"/>
      <c r="C89" s="90"/>
      <c r="D89" s="34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3">
        <f t="shared" si="7"/>
        <v>0</v>
      </c>
    </row>
    <row r="90" spans="1:18" ht="63.75" x14ac:dyDescent="0.25">
      <c r="A90" s="91" t="s">
        <v>96</v>
      </c>
      <c r="B90" s="37">
        <v>1331001</v>
      </c>
      <c r="C90" s="90">
        <v>11252328</v>
      </c>
      <c r="D90" s="34"/>
      <c r="E90" s="17"/>
      <c r="F90" s="92"/>
      <c r="G90" s="92"/>
      <c r="H90" s="17">
        <v>2328529.7799999998</v>
      </c>
      <c r="I90" s="17"/>
      <c r="J90" s="17"/>
      <c r="K90" s="92"/>
      <c r="L90" s="92"/>
      <c r="M90" s="92"/>
      <c r="N90" s="92"/>
      <c r="O90" s="17"/>
      <c r="P90" s="92"/>
      <c r="Q90" s="92"/>
      <c r="R90" s="13">
        <f t="shared" si="7"/>
        <v>2328529.7799999998</v>
      </c>
    </row>
    <row r="91" spans="1:18" ht="38.25" x14ac:dyDescent="0.25">
      <c r="A91" s="91" t="s">
        <v>97</v>
      </c>
      <c r="B91" s="37"/>
      <c r="C91" s="90">
        <v>60000</v>
      </c>
      <c r="D91" s="34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13">
        <f t="shared" si="7"/>
        <v>0</v>
      </c>
    </row>
    <row r="92" spans="1:18" ht="76.5" x14ac:dyDescent="0.25">
      <c r="A92" s="91" t="s">
        <v>98</v>
      </c>
      <c r="B92" s="37">
        <v>1331009</v>
      </c>
      <c r="C92" s="90">
        <v>1949900.5</v>
      </c>
      <c r="D92" s="34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3">
        <f t="shared" si="7"/>
        <v>0</v>
      </c>
    </row>
    <row r="93" spans="1:18" ht="38.25" x14ac:dyDescent="0.25">
      <c r="A93" s="91" t="s">
        <v>99</v>
      </c>
      <c r="B93" s="37">
        <v>1331002</v>
      </c>
      <c r="C93" s="90">
        <v>250000</v>
      </c>
      <c r="D93" s="34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13">
        <f t="shared" si="7"/>
        <v>0</v>
      </c>
    </row>
    <row r="94" spans="1:18" ht="76.5" x14ac:dyDescent="0.35">
      <c r="A94" s="91" t="s">
        <v>100</v>
      </c>
      <c r="B94" s="37">
        <v>1331008</v>
      </c>
      <c r="C94" s="90"/>
      <c r="D94" s="34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13">
        <f t="shared" si="7"/>
        <v>0</v>
      </c>
    </row>
    <row r="95" spans="1:18" ht="38.25" x14ac:dyDescent="0.25">
      <c r="A95" s="91" t="s">
        <v>101</v>
      </c>
      <c r="B95" s="37"/>
      <c r="C95" s="57"/>
      <c r="D95" s="34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13">
        <f t="shared" si="7"/>
        <v>0</v>
      </c>
    </row>
    <row r="96" spans="1:18" ht="25.5" x14ac:dyDescent="0.25">
      <c r="A96" s="22" t="s">
        <v>22</v>
      </c>
      <c r="B96" s="23"/>
      <c r="C96" s="24">
        <f>SUM(C90:C95)</f>
        <v>13512228.5</v>
      </c>
      <c r="D96" s="24">
        <f t="shared" ref="D96:Q96" si="11">SUM(D90:D95)</f>
        <v>0</v>
      </c>
      <c r="E96" s="24">
        <f t="shared" si="11"/>
        <v>0</v>
      </c>
      <c r="F96" s="24">
        <f t="shared" si="11"/>
        <v>0</v>
      </c>
      <c r="G96" s="24">
        <f t="shared" si="11"/>
        <v>0</v>
      </c>
      <c r="H96" s="24">
        <f>SUM(H90:H95)</f>
        <v>2328529.7799999998</v>
      </c>
      <c r="I96" s="24">
        <f>SUM(I90:I95)</f>
        <v>0</v>
      </c>
      <c r="J96" s="24">
        <f>SUM(J90:J95)</f>
        <v>0</v>
      </c>
      <c r="K96" s="24">
        <f t="shared" si="11"/>
        <v>0</v>
      </c>
      <c r="L96" s="24">
        <f t="shared" si="11"/>
        <v>0</v>
      </c>
      <c r="M96" s="24">
        <f t="shared" si="11"/>
        <v>0</v>
      </c>
      <c r="N96" s="24">
        <f t="shared" si="11"/>
        <v>0</v>
      </c>
      <c r="O96" s="24">
        <f t="shared" si="11"/>
        <v>0</v>
      </c>
      <c r="P96" s="24">
        <f t="shared" si="11"/>
        <v>0</v>
      </c>
      <c r="Q96" s="24">
        <f t="shared" si="11"/>
        <v>0</v>
      </c>
      <c r="R96" s="26">
        <f>SUM(R88:R95)</f>
        <v>2328529.7799999998</v>
      </c>
    </row>
    <row r="97" spans="1:18" ht="63.75" x14ac:dyDescent="0.25">
      <c r="A97" s="89" t="s">
        <v>102</v>
      </c>
      <c r="B97" s="40"/>
      <c r="C97" s="90"/>
      <c r="D97" s="34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3">
        <f t="shared" si="7"/>
        <v>0</v>
      </c>
    </row>
    <row r="98" spans="1:18" ht="38.25" x14ac:dyDescent="0.3">
      <c r="A98" s="91" t="s">
        <v>103</v>
      </c>
      <c r="B98" s="37">
        <v>1331002</v>
      </c>
      <c r="C98" s="90">
        <v>4154529</v>
      </c>
      <c r="D98" s="3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13">
        <f t="shared" si="7"/>
        <v>0</v>
      </c>
    </row>
    <row r="99" spans="1:18" ht="51" x14ac:dyDescent="0.3">
      <c r="A99" s="91" t="s">
        <v>104</v>
      </c>
      <c r="B99" s="37">
        <v>1331003</v>
      </c>
      <c r="C99" s="90">
        <v>3000000</v>
      </c>
      <c r="D99" s="34"/>
      <c r="E99" s="94"/>
      <c r="F99" s="94">
        <v>300000</v>
      </c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13">
        <f t="shared" si="7"/>
        <v>300000</v>
      </c>
    </row>
    <row r="100" spans="1:18" ht="63.75" x14ac:dyDescent="0.25">
      <c r="A100" s="91" t="s">
        <v>105</v>
      </c>
      <c r="B100" s="37">
        <v>1331011</v>
      </c>
      <c r="C100" s="95">
        <v>1510000</v>
      </c>
      <c r="D100" s="34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3">
        <f t="shared" si="7"/>
        <v>0</v>
      </c>
    </row>
    <row r="101" spans="1:18" ht="25.5" x14ac:dyDescent="0.25">
      <c r="A101" s="91" t="s">
        <v>106</v>
      </c>
      <c r="B101" s="37">
        <v>1331010</v>
      </c>
      <c r="C101" s="90">
        <v>50000</v>
      </c>
      <c r="D101" s="34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3">
        <f t="shared" si="7"/>
        <v>0</v>
      </c>
    </row>
    <row r="102" spans="1:18" ht="76.5" x14ac:dyDescent="0.35">
      <c r="A102" s="91" t="s">
        <v>107</v>
      </c>
      <c r="B102" s="37">
        <v>1331012</v>
      </c>
      <c r="C102" s="90"/>
      <c r="D102" s="67"/>
      <c r="E102" s="96"/>
      <c r="F102" s="96"/>
      <c r="G102" s="96"/>
      <c r="H102" s="96"/>
      <c r="I102" s="96"/>
      <c r="J102" s="96"/>
      <c r="K102" s="96"/>
      <c r="L102" s="17"/>
      <c r="M102" s="93"/>
      <c r="N102" s="96"/>
      <c r="O102" s="96"/>
      <c r="P102" s="96"/>
      <c r="Q102" s="96"/>
      <c r="R102" s="13">
        <f t="shared" si="7"/>
        <v>0</v>
      </c>
    </row>
    <row r="103" spans="1:18" ht="63.75" x14ac:dyDescent="0.35">
      <c r="A103" s="91" t="s">
        <v>108</v>
      </c>
      <c r="B103" s="37">
        <v>1331012</v>
      </c>
      <c r="C103" s="90">
        <v>24487925.399999999</v>
      </c>
      <c r="D103" s="34"/>
      <c r="E103" s="97"/>
      <c r="F103" s="97"/>
      <c r="G103" s="97"/>
      <c r="H103" s="97"/>
      <c r="I103" s="97"/>
      <c r="J103" s="97"/>
      <c r="K103" s="97"/>
      <c r="L103" s="17"/>
      <c r="M103" s="93"/>
      <c r="N103" s="97"/>
      <c r="O103" s="97"/>
      <c r="P103" s="97"/>
      <c r="Q103" s="97"/>
      <c r="R103" s="13">
        <f t="shared" si="7"/>
        <v>0</v>
      </c>
    </row>
    <row r="104" spans="1:18" ht="25.5" x14ac:dyDescent="0.25">
      <c r="A104" s="22" t="s">
        <v>22</v>
      </c>
      <c r="B104" s="23"/>
      <c r="C104" s="24">
        <f>SUM(C98:C103)</f>
        <v>33202454.399999999</v>
      </c>
      <c r="D104" s="24">
        <f t="shared" ref="D104:Q104" si="12">SUM(D98:D103)</f>
        <v>0</v>
      </c>
      <c r="E104" s="24">
        <f t="shared" si="12"/>
        <v>0</v>
      </c>
      <c r="F104" s="24">
        <f t="shared" si="12"/>
        <v>300000</v>
      </c>
      <c r="G104" s="24">
        <f t="shared" si="12"/>
        <v>0</v>
      </c>
      <c r="H104" s="24">
        <f>SUM(H98:H103)</f>
        <v>0</v>
      </c>
      <c r="I104" s="24">
        <f>SUM(I98:I103)</f>
        <v>0</v>
      </c>
      <c r="J104" s="24">
        <f>SUM(J98:J103)</f>
        <v>0</v>
      </c>
      <c r="K104" s="24">
        <f t="shared" si="12"/>
        <v>0</v>
      </c>
      <c r="L104" s="24">
        <f t="shared" si="12"/>
        <v>0</v>
      </c>
      <c r="M104" s="24">
        <f t="shared" si="12"/>
        <v>0</v>
      </c>
      <c r="N104" s="24">
        <f t="shared" si="12"/>
        <v>0</v>
      </c>
      <c r="O104" s="24">
        <f t="shared" si="12"/>
        <v>0</v>
      </c>
      <c r="P104" s="24">
        <f t="shared" si="12"/>
        <v>0</v>
      </c>
      <c r="Q104" s="24">
        <f t="shared" si="12"/>
        <v>0</v>
      </c>
      <c r="R104" s="26">
        <f>SUM(R97:R103)</f>
        <v>300000</v>
      </c>
    </row>
    <row r="105" spans="1:18" ht="51" x14ac:dyDescent="0.25">
      <c r="A105" s="98" t="s">
        <v>109</v>
      </c>
      <c r="B105" s="99" t="s">
        <v>51</v>
      </c>
      <c r="C105" s="100">
        <f>C96+C104</f>
        <v>46714682.899999999</v>
      </c>
      <c r="D105" s="100">
        <f t="shared" ref="D105:Q105" si="13">D96+D104</f>
        <v>0</v>
      </c>
      <c r="E105" s="100">
        <f t="shared" si="13"/>
        <v>0</v>
      </c>
      <c r="F105" s="100">
        <f t="shared" si="13"/>
        <v>300000</v>
      </c>
      <c r="G105" s="100">
        <f t="shared" si="13"/>
        <v>0</v>
      </c>
      <c r="H105" s="100">
        <f>H96+H104</f>
        <v>2328529.7799999998</v>
      </c>
      <c r="I105" s="100">
        <f>I96+I104</f>
        <v>0</v>
      </c>
      <c r="J105" s="100">
        <f>J96+J104</f>
        <v>0</v>
      </c>
      <c r="K105" s="100">
        <f t="shared" si="13"/>
        <v>0</v>
      </c>
      <c r="L105" s="100">
        <f t="shared" si="13"/>
        <v>0</v>
      </c>
      <c r="M105" s="100">
        <f t="shared" si="13"/>
        <v>0</v>
      </c>
      <c r="N105" s="100">
        <f t="shared" si="13"/>
        <v>0</v>
      </c>
      <c r="O105" s="100">
        <f t="shared" si="13"/>
        <v>0</v>
      </c>
      <c r="P105" s="100">
        <f t="shared" si="13"/>
        <v>0</v>
      </c>
      <c r="Q105" s="100">
        <f t="shared" si="13"/>
        <v>0</v>
      </c>
      <c r="R105" s="86">
        <f>R104+R96</f>
        <v>2628529.7799999998</v>
      </c>
    </row>
    <row r="106" spans="1:18" x14ac:dyDescent="0.25">
      <c r="A106" s="101"/>
      <c r="B106" s="102"/>
      <c r="C106" s="90"/>
      <c r="D106" s="34"/>
      <c r="E106" s="17"/>
      <c r="F106" s="103"/>
      <c r="G106" s="103"/>
      <c r="H106" s="17"/>
      <c r="I106" s="17"/>
      <c r="J106" s="17"/>
      <c r="K106" s="103"/>
      <c r="L106" s="103"/>
      <c r="M106" s="104"/>
      <c r="N106" s="103"/>
      <c r="O106" s="103"/>
      <c r="P106" s="103"/>
      <c r="Q106" s="103"/>
      <c r="R106" s="13">
        <f t="shared" si="7"/>
        <v>0</v>
      </c>
    </row>
    <row r="107" spans="1:18" ht="48" thickBot="1" x14ac:dyDescent="0.3">
      <c r="A107" s="105" t="s">
        <v>110</v>
      </c>
      <c r="B107" s="40"/>
      <c r="C107" s="106">
        <f>C105+C87</f>
        <v>54709039.449999996</v>
      </c>
      <c r="D107" s="106">
        <f t="shared" ref="D107:Q107" si="14">D105+D87</f>
        <v>0</v>
      </c>
      <c r="E107" s="106">
        <f t="shared" si="14"/>
        <v>171960.44</v>
      </c>
      <c r="F107" s="106">
        <f t="shared" si="14"/>
        <v>593437.67999999993</v>
      </c>
      <c r="G107" s="106">
        <f t="shared" si="14"/>
        <v>134373.51</v>
      </c>
      <c r="H107" s="106">
        <f>H105+H87</f>
        <v>2568409.1399999997</v>
      </c>
      <c r="I107" s="106">
        <f>I105+I87</f>
        <v>175939.99000000002</v>
      </c>
      <c r="J107" s="106">
        <f>J105+J87</f>
        <v>171960.44</v>
      </c>
      <c r="K107" s="106">
        <f t="shared" si="14"/>
        <v>0</v>
      </c>
      <c r="L107" s="106">
        <f t="shared" si="14"/>
        <v>0</v>
      </c>
      <c r="M107" s="106">
        <f t="shared" si="14"/>
        <v>0</v>
      </c>
      <c r="N107" s="106">
        <f t="shared" si="14"/>
        <v>0</v>
      </c>
      <c r="O107" s="106">
        <f t="shared" si="14"/>
        <v>0</v>
      </c>
      <c r="P107" s="106">
        <f t="shared" si="14"/>
        <v>0</v>
      </c>
      <c r="Q107" s="106">
        <f t="shared" si="14"/>
        <v>0</v>
      </c>
      <c r="R107" s="13">
        <f>R105+R87</f>
        <v>3644120.76</v>
      </c>
    </row>
    <row r="108" spans="1:18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6F1E-4164-4137-B6D1-B4131B1158B6}">
  <dimension ref="A1:I90"/>
  <sheetViews>
    <sheetView workbookViewId="0"/>
  </sheetViews>
  <sheetFormatPr defaultRowHeight="15" x14ac:dyDescent="0.25"/>
  <cols>
    <col min="2" max="2" width="14" bestFit="1" customWidth="1"/>
    <col min="3" max="3" width="51.85546875" customWidth="1"/>
    <col min="4" max="4" width="25" customWidth="1"/>
    <col min="5" max="5" width="16.140625" customWidth="1"/>
    <col min="6" max="6" width="17.28515625" customWidth="1"/>
    <col min="7" max="7" width="17.140625" bestFit="1" customWidth="1"/>
    <col min="8" max="8" width="14.5703125" customWidth="1"/>
    <col min="9" max="9" width="17.140625" bestFit="1" customWidth="1"/>
  </cols>
  <sheetData>
    <row r="1" spans="1:9" ht="114.75" customHeight="1" thickTop="1" x14ac:dyDescent="0.25">
      <c r="A1" s="107"/>
      <c r="B1" s="108" t="s">
        <v>111</v>
      </c>
      <c r="C1" s="107" t="s">
        <v>0</v>
      </c>
      <c r="D1" s="109" t="s">
        <v>112</v>
      </c>
      <c r="E1" s="109" t="s">
        <v>113</v>
      </c>
      <c r="F1" s="109" t="s">
        <v>114</v>
      </c>
      <c r="G1" s="110" t="s">
        <v>115</v>
      </c>
      <c r="H1" s="110" t="s">
        <v>116</v>
      </c>
      <c r="I1" s="111" t="s">
        <v>117</v>
      </c>
    </row>
    <row r="2" spans="1:9" ht="18" x14ac:dyDescent="0.25">
      <c r="A2" s="112"/>
      <c r="B2" s="113" t="s">
        <v>118</v>
      </c>
      <c r="C2" s="113"/>
      <c r="D2" s="114"/>
      <c r="E2" s="114"/>
      <c r="F2" s="114"/>
      <c r="G2" s="115"/>
      <c r="H2" s="115"/>
      <c r="I2" s="116"/>
    </row>
    <row r="3" spans="1:9" ht="18" x14ac:dyDescent="0.25">
      <c r="A3" s="117"/>
      <c r="B3" s="117"/>
      <c r="C3" s="112" t="str">
        <f>'[1]IGF FIELD'!B4</f>
        <v>Non Established Position</v>
      </c>
      <c r="D3" s="118"/>
      <c r="E3" s="118"/>
      <c r="F3" s="119"/>
      <c r="G3" s="120"/>
      <c r="H3" s="120"/>
      <c r="I3" s="116"/>
    </row>
    <row r="4" spans="1:9" ht="18" x14ac:dyDescent="0.25">
      <c r="A4" s="117"/>
      <c r="B4" s="117">
        <f>'[1]IGF FIELD'!C5</f>
        <v>2111101</v>
      </c>
      <c r="C4" s="117" t="str">
        <f>'[1]IGF FIELD'!B5</f>
        <v>Daily Rated</v>
      </c>
      <c r="D4" s="118">
        <f>'[1]IGF FIELD'!D5</f>
        <v>0</v>
      </c>
      <c r="E4" s="118">
        <f>'[1]IGF FIELD'!E5</f>
        <v>0</v>
      </c>
      <c r="F4" s="119"/>
      <c r="G4" s="120">
        <f>'[1]IGF FIELD'!F5</f>
        <v>0</v>
      </c>
      <c r="H4" s="120"/>
      <c r="I4" s="116">
        <f>'[1]IGF FIELD'!S5</f>
        <v>0</v>
      </c>
    </row>
    <row r="5" spans="1:9" ht="18" x14ac:dyDescent="0.25">
      <c r="A5" s="117"/>
      <c r="B5" s="117">
        <f>'[1]IGF FIELD'!C6</f>
        <v>2111102</v>
      </c>
      <c r="C5" s="117" t="str">
        <f>'[1]IGF FIELD'!B6</f>
        <v>Monthly Paid &amp; Casual Labour</v>
      </c>
      <c r="D5" s="118">
        <f>'[1]IGF FIELD'!D6</f>
        <v>300000</v>
      </c>
      <c r="E5" s="118">
        <f>'[1]IGF FIELD'!E6</f>
        <v>0</v>
      </c>
      <c r="F5" s="119"/>
      <c r="G5" s="120">
        <f>'[1]IGF FIELD'!F6</f>
        <v>19849.099999999999</v>
      </c>
      <c r="H5" s="120"/>
      <c r="I5" s="116">
        <f>'[1]IGF FIELD'!S6</f>
        <v>97564.489999999991</v>
      </c>
    </row>
    <row r="6" spans="1:9" ht="22.5" x14ac:dyDescent="0.25">
      <c r="A6" s="117"/>
      <c r="B6" s="117">
        <f>'[1]IGF FIELD'!C7</f>
        <v>2121001</v>
      </c>
      <c r="C6" s="117" t="str">
        <f>'[1]IGF FIELD'!B7</f>
        <v>18.5% SSF Contribution</v>
      </c>
      <c r="D6" s="118">
        <f>'[1]IGF FIELD'!D7</f>
        <v>70000</v>
      </c>
      <c r="E6" s="118">
        <f>'[1]IGF FIELD'!E7</f>
        <v>0</v>
      </c>
      <c r="F6" s="121"/>
      <c r="G6" s="120">
        <f>'[1]IGF FIELD'!F7</f>
        <v>3613.25</v>
      </c>
      <c r="H6" s="121"/>
      <c r="I6" s="116">
        <f>'[1]IGF FIELD'!S7</f>
        <v>19858.96</v>
      </c>
    </row>
    <row r="7" spans="1:9" ht="18" x14ac:dyDescent="0.25">
      <c r="A7" s="117"/>
      <c r="B7" s="117"/>
      <c r="C7" s="117" t="str">
        <f>'[1]IGF FIELD'!B8</f>
        <v>Sub-Total</v>
      </c>
      <c r="D7" s="118">
        <f>'[1]IGF FIELD'!D8</f>
        <v>370000</v>
      </c>
      <c r="E7" s="118">
        <f>'[1]IGF FIELD'!E8</f>
        <v>0</v>
      </c>
      <c r="F7" s="119"/>
      <c r="G7" s="120">
        <f>'[1]IGF FIELD'!F8</f>
        <v>23462.35</v>
      </c>
      <c r="H7" s="120"/>
      <c r="I7" s="116">
        <f>'[1]IGF FIELD'!S8</f>
        <v>117423.44999999998</v>
      </c>
    </row>
    <row r="8" spans="1:9" ht="18" x14ac:dyDescent="0.25">
      <c r="A8" s="117"/>
      <c r="B8" s="117"/>
      <c r="C8" s="117" t="str">
        <f>'[1]IGF FIELD'!B9</f>
        <v>Other Allowances</v>
      </c>
      <c r="D8" s="118">
        <f>'[1]IGF FIELD'!D9</f>
        <v>0</v>
      </c>
      <c r="E8" s="118">
        <f>'[1]IGF FIELD'!E9</f>
        <v>0</v>
      </c>
      <c r="F8" s="119"/>
      <c r="G8" s="120">
        <f>'[1]IGF FIELD'!F9</f>
        <v>0</v>
      </c>
      <c r="H8" s="120"/>
      <c r="I8" s="116">
        <f>'[1]IGF FIELD'!S9</f>
        <v>0</v>
      </c>
    </row>
    <row r="9" spans="1:9" ht="18" x14ac:dyDescent="0.25">
      <c r="A9" s="117"/>
      <c r="B9" s="117">
        <f>'[1]IGF FIELD'!C10</f>
        <v>2111248</v>
      </c>
      <c r="C9" s="117" t="str">
        <f>'[1]IGF FIELD'!B10</f>
        <v>Special allowance</v>
      </c>
      <c r="D9" s="118">
        <f>'[1]IGF FIELD'!D10</f>
        <v>50000</v>
      </c>
      <c r="E9" s="118">
        <f>'[1]IGF FIELD'!E10</f>
        <v>0</v>
      </c>
      <c r="F9" s="119"/>
      <c r="G9" s="120">
        <f>'[1]IGF FIELD'!F10</f>
        <v>20927</v>
      </c>
      <c r="H9" s="120"/>
      <c r="I9" s="116">
        <f>'[1]IGF FIELD'!S10</f>
        <v>22248</v>
      </c>
    </row>
    <row r="10" spans="1:9" ht="18" x14ac:dyDescent="0.25">
      <c r="A10" s="117"/>
      <c r="B10" s="117">
        <f>'[1]IGF FIELD'!C11</f>
        <v>21111244</v>
      </c>
      <c r="C10" s="117" t="str">
        <f>'[1]IGF FIELD'!B11</f>
        <v>Out of station allowance</v>
      </c>
      <c r="D10" s="118">
        <f>'[1]IGF FIELD'!D11</f>
        <v>120500</v>
      </c>
      <c r="E10" s="118">
        <f>'[1]IGF FIELD'!E11</f>
        <v>0</v>
      </c>
      <c r="F10" s="119"/>
      <c r="G10" s="120">
        <f>'[1]IGF FIELD'!F11</f>
        <v>9760</v>
      </c>
      <c r="H10" s="120"/>
      <c r="I10" s="116">
        <f>'[1]IGF FIELD'!S11</f>
        <v>35244</v>
      </c>
    </row>
    <row r="11" spans="1:9" ht="18" x14ac:dyDescent="0.25">
      <c r="A11" s="117"/>
      <c r="B11" s="117">
        <f>'[1]IGF FIELD'!C12</f>
        <v>2111238</v>
      </c>
      <c r="C11" s="117" t="str">
        <f>'[1]IGF FIELD'!B12</f>
        <v>Overtime Allowances</v>
      </c>
      <c r="D11" s="118">
        <f>'[1]IGF FIELD'!D12</f>
        <v>20000</v>
      </c>
      <c r="E11" s="118">
        <f>'[1]IGF FIELD'!E12</f>
        <v>0</v>
      </c>
      <c r="F11" s="119"/>
      <c r="G11" s="120">
        <f>'[1]IGF FIELD'!F12</f>
        <v>0</v>
      </c>
      <c r="H11" s="120"/>
      <c r="I11" s="116">
        <f>'[1]IGF FIELD'!S12</f>
        <v>0</v>
      </c>
    </row>
    <row r="12" spans="1:9" ht="18" x14ac:dyDescent="0.25">
      <c r="A12" s="117"/>
      <c r="B12" s="117">
        <f>'[1]IGF FIELD'!C13</f>
        <v>2111242</v>
      </c>
      <c r="C12" s="117" t="str">
        <f>'[1]IGF FIELD'!B13</f>
        <v>Travelling Allowance</v>
      </c>
      <c r="D12" s="118">
        <f>'[1]IGF FIELD'!D13</f>
        <v>100000</v>
      </c>
      <c r="E12" s="118">
        <f>'[1]IGF FIELD'!E13</f>
        <v>0</v>
      </c>
      <c r="F12" s="119"/>
      <c r="G12" s="120">
        <f>'[1]IGF FIELD'!F13</f>
        <v>0</v>
      </c>
      <c r="H12" s="120"/>
      <c r="I12" s="116">
        <f>'[1]IGF FIELD'!S13</f>
        <v>1750</v>
      </c>
    </row>
    <row r="13" spans="1:9" ht="18" x14ac:dyDescent="0.25">
      <c r="A13" s="117"/>
      <c r="B13" s="117">
        <f>'[1]IGF FIELD'!C14</f>
        <v>2111243</v>
      </c>
      <c r="C13" s="117" t="str">
        <f>'[1]IGF FIELD'!B14</f>
        <v>Transfer Grants</v>
      </c>
      <c r="D13" s="118">
        <f>'[1]IGF FIELD'!D14</f>
        <v>150000</v>
      </c>
      <c r="E13" s="118">
        <f>'[1]IGF FIELD'!E14</f>
        <v>0</v>
      </c>
      <c r="F13" s="119"/>
      <c r="G13" s="120">
        <f>'[1]IGF FIELD'!F14</f>
        <v>0</v>
      </c>
      <c r="H13" s="120"/>
      <c r="I13" s="116">
        <f>'[1]IGF FIELD'!S14</f>
        <v>0</v>
      </c>
    </row>
    <row r="14" spans="1:9" ht="22.5" x14ac:dyDescent="0.55000000000000004">
      <c r="A14" s="112"/>
      <c r="B14" s="117">
        <f>'[1]IGF FIELD'!C15</f>
        <v>2121004</v>
      </c>
      <c r="C14" s="117" t="str">
        <f>'[1]IGF FIELD'!B15</f>
        <v>Ex-Gratia for Assembly Members</v>
      </c>
      <c r="D14" s="118">
        <f>'[1]IGF FIELD'!D15</f>
        <v>70001.55</v>
      </c>
      <c r="E14" s="118">
        <f>'[1]IGF FIELD'!E15</f>
        <v>0</v>
      </c>
      <c r="F14" s="122"/>
      <c r="G14" s="120">
        <f>'[1]IGF FIELD'!F15</f>
        <v>0</v>
      </c>
      <c r="H14" s="123"/>
      <c r="I14" s="116">
        <f>'[1]IGF FIELD'!S15</f>
        <v>0</v>
      </c>
    </row>
    <row r="15" spans="1:9" ht="22.5" x14ac:dyDescent="0.55000000000000004">
      <c r="A15" s="117"/>
      <c r="B15" s="117"/>
      <c r="C15" s="112" t="str">
        <f>'[1]IGF FIELD'!B16</f>
        <v>Sub-Total</v>
      </c>
      <c r="D15" s="118">
        <f>'[1]IGF FIELD'!D16</f>
        <v>510501.55</v>
      </c>
      <c r="E15" s="118">
        <f>'[1]IGF FIELD'!E16</f>
        <v>0</v>
      </c>
      <c r="F15" s="119"/>
      <c r="G15" s="120">
        <f>'[1]IGF FIELD'!F16</f>
        <v>30687</v>
      </c>
      <c r="H15" s="123"/>
      <c r="I15" s="116">
        <f>'[1]IGF FIELD'!S16</f>
        <v>59242</v>
      </c>
    </row>
    <row r="16" spans="1:9" ht="18" x14ac:dyDescent="0.25">
      <c r="A16" s="117"/>
      <c r="B16" s="117"/>
      <c r="C16" s="112" t="str">
        <f>'[1]IGF FIELD'!B17</f>
        <v>TOTAL COMPENSATION OF EMPLOYEES</v>
      </c>
      <c r="D16" s="118">
        <f>'[1]IGF FIELD'!D17</f>
        <v>880501.55</v>
      </c>
      <c r="E16" s="118">
        <f>'[1]IGF FIELD'!E17</f>
        <v>0</v>
      </c>
      <c r="F16" s="119"/>
      <c r="G16" s="120">
        <f>'[1]IGF FIELD'!F17</f>
        <v>54149.35</v>
      </c>
      <c r="H16" s="120"/>
      <c r="I16" s="116">
        <f>'[1]IGF FIELD'!S16</f>
        <v>59242</v>
      </c>
    </row>
    <row r="17" spans="1:9" ht="22.5" x14ac:dyDescent="0.55000000000000004">
      <c r="A17" s="117" t="s">
        <v>51</v>
      </c>
      <c r="B17" s="117" t="str">
        <f>'[1]IGF FIELD'!C18</f>
        <v xml:space="preserve"> </v>
      </c>
      <c r="C17" s="112" t="str">
        <f>'[1]IGF FIELD'!B18</f>
        <v>GOODS AND SERVICE</v>
      </c>
      <c r="D17" s="118">
        <f>'[1]IGF FIELD'!D18</f>
        <v>0</v>
      </c>
      <c r="E17" s="118">
        <f>'[1]IGF FIELD'!E18</f>
        <v>0</v>
      </c>
      <c r="F17" s="124"/>
      <c r="G17" s="120">
        <f>'[1]IGF FIELD'!F18</f>
        <v>0</v>
      </c>
      <c r="H17" s="123"/>
      <c r="I17" s="116">
        <f>'[1]IGF FIELD'!S18</f>
        <v>0</v>
      </c>
    </row>
    <row r="18" spans="1:9" ht="22.5" x14ac:dyDescent="0.55000000000000004">
      <c r="A18" s="112"/>
      <c r="B18" s="117"/>
      <c r="C18" s="112" t="str">
        <f>'[1]IGF FIELD'!B19</f>
        <v>MATERIALS- OFFICE SUPPLIES</v>
      </c>
      <c r="D18" s="118">
        <f>'[1]IGF FIELD'!D19</f>
        <v>0</v>
      </c>
      <c r="E18" s="118">
        <f>'[1]IGF FIELD'!E19</f>
        <v>0</v>
      </c>
      <c r="F18" s="124"/>
      <c r="G18" s="120">
        <f>'[1]IGF FIELD'!F19</f>
        <v>0</v>
      </c>
      <c r="H18" s="123"/>
      <c r="I18" s="116">
        <f>'[1]IGF FIELD'!S19</f>
        <v>0</v>
      </c>
    </row>
    <row r="19" spans="1:9" ht="18" x14ac:dyDescent="0.25">
      <c r="A19" s="117"/>
      <c r="B19" s="117">
        <f>'[1]IGF FIELD'!C20</f>
        <v>2210110</v>
      </c>
      <c r="C19" s="117" t="str">
        <f>'[1]IGF FIELD'!B20</f>
        <v>SPecialised Stock / Support tree planting</v>
      </c>
      <c r="D19" s="118">
        <f>'[1]IGF FIELD'!D20</f>
        <v>8000</v>
      </c>
      <c r="E19" s="118">
        <f>'[1]IGF FIELD'!E20</f>
        <v>0</v>
      </c>
      <c r="F19" s="119"/>
      <c r="G19" s="120">
        <f>'[1]IGF FIELD'!F20</f>
        <v>0</v>
      </c>
      <c r="H19" s="120"/>
      <c r="I19" s="116">
        <f>'[1]IGF FIELD'!S20</f>
        <v>0</v>
      </c>
    </row>
    <row r="20" spans="1:9" ht="18" x14ac:dyDescent="0.25">
      <c r="A20" s="112"/>
      <c r="B20" s="117">
        <f>'[1]IGF FIELD'!C21</f>
        <v>2210301</v>
      </c>
      <c r="C20" s="117" t="str">
        <f>'[1]IGF FIELD'!B21</f>
        <v>Cleaning Materials</v>
      </c>
      <c r="D20" s="118">
        <f>'[1]IGF FIELD'!D21</f>
        <v>29000</v>
      </c>
      <c r="E20" s="118">
        <f>'[1]IGF FIELD'!E21</f>
        <v>0</v>
      </c>
      <c r="F20" s="119"/>
      <c r="G20" s="120">
        <f>'[1]IGF FIELD'!F21</f>
        <v>0</v>
      </c>
      <c r="H20" s="120"/>
      <c r="I20" s="116">
        <f>'[1]IGF FIELD'!S21</f>
        <v>5330</v>
      </c>
    </row>
    <row r="21" spans="1:9" ht="18" x14ac:dyDescent="0.25">
      <c r="A21" s="117"/>
      <c r="B21" s="117">
        <f>'[1]IGF FIELD'!C22</f>
        <v>2210101</v>
      </c>
      <c r="C21" s="117" t="str">
        <f>'[1]IGF FIELD'!B22</f>
        <v>Printed Materails &amp; Stationery</v>
      </c>
      <c r="D21" s="118">
        <f>'[1]IGF FIELD'!D22</f>
        <v>100000</v>
      </c>
      <c r="E21" s="118">
        <f>'[1]IGF FIELD'!E22</f>
        <v>0</v>
      </c>
      <c r="F21" s="119"/>
      <c r="G21" s="120">
        <f>'[1]IGF FIELD'!F22</f>
        <v>1145</v>
      </c>
      <c r="H21" s="118"/>
      <c r="I21" s="116">
        <f>'[1]IGF FIELD'!S22</f>
        <v>56183.28</v>
      </c>
    </row>
    <row r="22" spans="1:9" ht="18" x14ac:dyDescent="0.25">
      <c r="A22" s="117"/>
      <c r="B22" s="117">
        <f>'[1]IGF FIELD'!C23</f>
        <v>2210102</v>
      </c>
      <c r="C22" s="117" t="str">
        <f>'[1]IGF FIELD'!B23</f>
        <v>Office facilities, Supplies &amp; Accessories</v>
      </c>
      <c r="D22" s="118">
        <f>'[1]IGF FIELD'!D23</f>
        <v>40000</v>
      </c>
      <c r="E22" s="118">
        <f>'[1]IGF FIELD'!E23</f>
        <v>0</v>
      </c>
      <c r="F22" s="119"/>
      <c r="G22" s="120">
        <f>'[1]IGF FIELD'!F23</f>
        <v>0</v>
      </c>
      <c r="H22" s="118"/>
      <c r="I22" s="116">
        <f>'[1]IGF FIELD'!S23</f>
        <v>0</v>
      </c>
    </row>
    <row r="23" spans="1:9" ht="18" x14ac:dyDescent="0.25">
      <c r="A23" s="117"/>
      <c r="B23" s="117">
        <f>'[1]IGF FIELD'!C24</f>
        <v>2210103</v>
      </c>
      <c r="C23" s="117" t="str">
        <f>'[1]IGF FIELD'!B24</f>
        <v>Refreshment Item</v>
      </c>
      <c r="D23" s="118">
        <f>'[1]IGF FIELD'!D24</f>
        <v>300000</v>
      </c>
      <c r="E23" s="118">
        <f>'[1]IGF FIELD'!E24</f>
        <v>0</v>
      </c>
      <c r="F23" s="119"/>
      <c r="G23" s="120">
        <f>'[1]IGF FIELD'!F24</f>
        <v>27900</v>
      </c>
      <c r="H23" s="118"/>
      <c r="I23" s="116">
        <f>'[1]IGF FIELD'!S24</f>
        <v>51062</v>
      </c>
    </row>
    <row r="24" spans="1:9" ht="18" x14ac:dyDescent="0.25">
      <c r="A24" s="117"/>
      <c r="B24" s="117">
        <f>'[1]IGF FIELD'!C25</f>
        <v>2210122</v>
      </c>
      <c r="C24" s="117" t="str">
        <f>'[1]IGF FIELD'!B25</f>
        <v>Specialised Stock / Value Books</v>
      </c>
      <c r="D24" s="118">
        <f>'[1]IGF FIELD'!D25</f>
        <v>70000</v>
      </c>
      <c r="E24" s="118">
        <f>'[1]IGF FIELD'!E25</f>
        <v>0</v>
      </c>
      <c r="F24" s="119"/>
      <c r="G24" s="120">
        <f>'[1]IGF FIELD'!F25</f>
        <v>10700</v>
      </c>
      <c r="H24" s="118"/>
      <c r="I24" s="116">
        <f>'[1]IGF FIELD'!S25</f>
        <v>22500</v>
      </c>
    </row>
    <row r="25" spans="1:9" ht="18" x14ac:dyDescent="0.25">
      <c r="A25" s="117"/>
      <c r="B25" s="117">
        <f>'[1]IGF FIELD'!C26</f>
        <v>2210112</v>
      </c>
      <c r="C25" s="117" t="str">
        <f>'[1]IGF FIELD'!B26</f>
        <v>Electrical accessories</v>
      </c>
      <c r="D25" s="118">
        <f>'[1]IGF FIELD'!D26</f>
        <v>0</v>
      </c>
      <c r="E25" s="118">
        <f>'[1]IGF FIELD'!E26</f>
        <v>0</v>
      </c>
      <c r="F25" s="119"/>
      <c r="G25" s="120">
        <f>'[1]IGF FIELD'!F26</f>
        <v>0</v>
      </c>
      <c r="H25" s="118"/>
      <c r="I25" s="116">
        <f>'[1]IGF FIELD'!S26</f>
        <v>2767.75</v>
      </c>
    </row>
    <row r="26" spans="1:9" ht="18" x14ac:dyDescent="0.25">
      <c r="A26" s="117"/>
      <c r="B26" s="117">
        <f>'[1]IGF FIELD'!C27</f>
        <v>2210120</v>
      </c>
      <c r="C26" s="117" t="str">
        <f>'[1]IGF FIELD'!B27</f>
        <v>Purchase of Petty Tools/Implement</v>
      </c>
      <c r="D26" s="118">
        <f>'[1]IGF FIELD'!D27</f>
        <v>10000</v>
      </c>
      <c r="E26" s="118">
        <f>'[1]IGF FIELD'!E27</f>
        <v>0</v>
      </c>
      <c r="F26" s="119"/>
      <c r="G26" s="120">
        <f>'[1]IGF FIELD'!F27</f>
        <v>0</v>
      </c>
      <c r="H26" s="118"/>
      <c r="I26" s="116">
        <f>'[1]IGF FIELD'!S27</f>
        <v>0</v>
      </c>
    </row>
    <row r="27" spans="1:9" ht="18" x14ac:dyDescent="0.25">
      <c r="A27" s="117"/>
      <c r="B27" s="117">
        <f>'[1]IGF FIELD'!C28</f>
        <v>2210116</v>
      </c>
      <c r="C27" s="117" t="str">
        <f>'[1]IGF FIELD'!B28</f>
        <v>Chemicals and consumables (COVID)</v>
      </c>
      <c r="D27" s="118">
        <f>'[1]IGF FIELD'!D28</f>
        <v>0</v>
      </c>
      <c r="E27" s="118">
        <f>'[1]IGF FIELD'!E28</f>
        <v>0</v>
      </c>
      <c r="F27" s="119"/>
      <c r="G27" s="120">
        <f>'[1]IGF FIELD'!F28</f>
        <v>0</v>
      </c>
      <c r="H27" s="118"/>
      <c r="I27" s="116">
        <f>'[1]IGF FIELD'!S28</f>
        <v>0</v>
      </c>
    </row>
    <row r="28" spans="1:9" ht="18" x14ac:dyDescent="0.25">
      <c r="A28" s="117"/>
      <c r="B28" s="117"/>
      <c r="C28" s="112" t="str">
        <f>'[1]IGF FIELD'!B29</f>
        <v>Sub-Total</v>
      </c>
      <c r="D28" s="118">
        <f>'[1]IGF FIELD'!D29</f>
        <v>557000</v>
      </c>
      <c r="E28" s="118">
        <f>'[1]IGF FIELD'!E29</f>
        <v>0</v>
      </c>
      <c r="F28" s="119"/>
      <c r="G28" s="120">
        <f>'[1]IGF FIELD'!F29</f>
        <v>39745</v>
      </c>
      <c r="H28" s="118"/>
      <c r="I28" s="116">
        <f>'[1]IGF FIELD'!S29</f>
        <v>137843.03</v>
      </c>
    </row>
    <row r="29" spans="1:9" ht="18" x14ac:dyDescent="0.25">
      <c r="A29" s="117"/>
      <c r="B29" s="117"/>
      <c r="C29" s="112" t="str">
        <f>'[1]IGF FIELD'!B30</f>
        <v>UTILITIES</v>
      </c>
      <c r="D29" s="118">
        <f>'[1]IGF FIELD'!D30</f>
        <v>0</v>
      </c>
      <c r="E29" s="118">
        <f>'[1]IGF FIELD'!E30</f>
        <v>0</v>
      </c>
      <c r="F29" s="119"/>
      <c r="G29" s="120">
        <f>'[1]IGF FIELD'!F30</f>
        <v>0</v>
      </c>
      <c r="H29" s="118"/>
      <c r="I29" s="116">
        <f>'[1]IGF FIELD'!S30</f>
        <v>0</v>
      </c>
    </row>
    <row r="30" spans="1:9" ht="22.5" x14ac:dyDescent="0.55000000000000004">
      <c r="A30" s="117"/>
      <c r="B30" s="117">
        <f>'[1]IGF FIELD'!C31</f>
        <v>2210201</v>
      </c>
      <c r="C30" s="117" t="str">
        <f>'[1]IGF FIELD'!B31</f>
        <v>Electricity Charges</v>
      </c>
      <c r="D30" s="118">
        <f>'[1]IGF FIELD'!D31</f>
        <v>10000</v>
      </c>
      <c r="E30" s="118">
        <f>'[1]IGF FIELD'!E31</f>
        <v>0</v>
      </c>
      <c r="F30" s="124"/>
      <c r="G30" s="120">
        <f>'[1]IGF FIELD'!F31</f>
        <v>0</v>
      </c>
      <c r="H30" s="123"/>
      <c r="I30" s="116">
        <f>'[1]IGF FIELD'!S31</f>
        <v>0</v>
      </c>
    </row>
    <row r="31" spans="1:9" ht="22.5" x14ac:dyDescent="0.55000000000000004">
      <c r="A31" s="117"/>
      <c r="B31" s="117">
        <f>'[1]IGF FIELD'!C32</f>
        <v>2210202</v>
      </c>
      <c r="C31" s="117" t="str">
        <f>'[1]IGF FIELD'!B32</f>
        <v>Water</v>
      </c>
      <c r="D31" s="118">
        <f>'[1]IGF FIELD'!D32</f>
        <v>2000</v>
      </c>
      <c r="E31" s="118">
        <f>'[1]IGF FIELD'!E32</f>
        <v>0</v>
      </c>
      <c r="F31" s="119"/>
      <c r="G31" s="120">
        <f>'[1]IGF FIELD'!F32</f>
        <v>0</v>
      </c>
      <c r="H31" s="123"/>
      <c r="I31" s="116">
        <f>'[1]IGF FIELD'!S32</f>
        <v>0</v>
      </c>
    </row>
    <row r="32" spans="1:9" ht="18" x14ac:dyDescent="0.25">
      <c r="A32" s="117"/>
      <c r="B32" s="117">
        <f>'[1]IGF FIELD'!C33</f>
        <v>2210204</v>
      </c>
      <c r="C32" s="117" t="str">
        <f>'[1]IGF FIELD'!B33</f>
        <v>Postal Charges</v>
      </c>
      <c r="D32" s="118">
        <f>'[1]IGF FIELD'!D33</f>
        <v>1000</v>
      </c>
      <c r="E32" s="118">
        <f>'[1]IGF FIELD'!E33</f>
        <v>0</v>
      </c>
      <c r="F32" s="119"/>
      <c r="G32" s="120">
        <f>'[1]IGF FIELD'!F33</f>
        <v>0</v>
      </c>
      <c r="H32" s="125"/>
      <c r="I32" s="116">
        <f>'[1]IGF FIELD'!S33</f>
        <v>0</v>
      </c>
    </row>
    <row r="33" spans="1:9" ht="18" x14ac:dyDescent="0.25">
      <c r="A33" s="117"/>
      <c r="B33" s="117">
        <f>'[1]IGF FIELD'!C34</f>
        <v>2210609</v>
      </c>
      <c r="C33" s="117" t="str">
        <f>'[1]IGF FIELD'!B34</f>
        <v>Fire Fighthing Accessories</v>
      </c>
      <c r="D33" s="118">
        <f>'[1]IGF FIELD'!D34</f>
        <v>20000</v>
      </c>
      <c r="E33" s="118">
        <f>'[1]IGF FIELD'!E34</f>
        <v>0</v>
      </c>
      <c r="F33" s="119"/>
      <c r="G33" s="120">
        <f>'[1]IGF FIELD'!F34</f>
        <v>0</v>
      </c>
      <c r="H33" s="120"/>
      <c r="I33" s="116">
        <f>'[1]IGF FIELD'!S34</f>
        <v>0</v>
      </c>
    </row>
    <row r="34" spans="1:9" ht="18" x14ac:dyDescent="0.25">
      <c r="A34" s="117"/>
      <c r="B34" s="117">
        <f>'[1]IGF FIELD'!C35</f>
        <v>2210205</v>
      </c>
      <c r="C34" s="117" t="str">
        <f>'[1]IGF FIELD'!B35</f>
        <v>sanitation charges</v>
      </c>
      <c r="D34" s="118">
        <f>'[1]IGF FIELD'!D35</f>
        <v>120000</v>
      </c>
      <c r="E34" s="118"/>
      <c r="F34" s="119"/>
      <c r="G34" s="120">
        <f>'[1]IGF FIELD'!F35</f>
        <v>2800</v>
      </c>
      <c r="H34" s="120"/>
      <c r="I34" s="116">
        <f>'[1]IGF FIELD'!S35</f>
        <v>13420</v>
      </c>
    </row>
    <row r="35" spans="1:9" ht="18" x14ac:dyDescent="0.25">
      <c r="A35" s="117"/>
      <c r="B35" s="117"/>
      <c r="C35" s="112" t="str">
        <f>'[1]IGF FIELD'!B36</f>
        <v>Sub-Total</v>
      </c>
      <c r="D35" s="118">
        <f>'[1]IGF FIELD'!D36</f>
        <v>153000</v>
      </c>
      <c r="E35" s="118">
        <f>'[1]IGF FIELD'!E36</f>
        <v>0</v>
      </c>
      <c r="F35" s="119"/>
      <c r="G35" s="120">
        <f>'[1]IGF FIELD'!F36</f>
        <v>2800</v>
      </c>
      <c r="H35" s="120"/>
      <c r="I35" s="116">
        <f>'[1]IGF FIELD'!S36</f>
        <v>13420</v>
      </c>
    </row>
    <row r="36" spans="1:9" ht="22.5" x14ac:dyDescent="0.55000000000000004">
      <c r="A36" s="117"/>
      <c r="B36" s="117"/>
      <c r="C36" s="112" t="str">
        <f>'[1]IGF FIELD'!B37</f>
        <v>RENTAL</v>
      </c>
      <c r="D36" s="118">
        <f>'[1]IGF FIELD'!D37</f>
        <v>0</v>
      </c>
      <c r="E36" s="118">
        <f>'[1]IGF FIELD'!E37</f>
        <v>0</v>
      </c>
      <c r="F36" s="126"/>
      <c r="G36" s="120">
        <f>'[1]IGF FIELD'!F37</f>
        <v>0</v>
      </c>
      <c r="H36" s="123"/>
      <c r="I36" s="116">
        <f>'[1]IGF FIELD'!S37</f>
        <v>0</v>
      </c>
    </row>
    <row r="37" spans="1:9" ht="22.5" x14ac:dyDescent="0.55000000000000004">
      <c r="A37" s="117"/>
      <c r="B37" s="117">
        <f>'[1]IGF FIELD'!C38</f>
        <v>2210401</v>
      </c>
      <c r="C37" s="117" t="str">
        <f>'[1]IGF FIELD'!B38</f>
        <v>Machine/Equipment</v>
      </c>
      <c r="D37" s="118">
        <f>'[1]IGF FIELD'!D38</f>
        <v>0</v>
      </c>
      <c r="E37" s="118">
        <f>'[1]IGF FIELD'!E38</f>
        <v>0</v>
      </c>
      <c r="F37" s="119"/>
      <c r="G37" s="120">
        <f>'[1]IGF FIELD'!F38</f>
        <v>0</v>
      </c>
      <c r="H37" s="123"/>
      <c r="I37" s="116">
        <f>'[1]IGF FIELD'!S38</f>
        <v>0</v>
      </c>
    </row>
    <row r="38" spans="1:9" ht="18" x14ac:dyDescent="0.25">
      <c r="A38" s="117"/>
      <c r="B38" s="117">
        <f>'[1]IGF FIELD'!C39</f>
        <v>2210404</v>
      </c>
      <c r="C38" s="117" t="str">
        <f>'[1]IGF FIELD'!B39</f>
        <v>Hotel Accommodations</v>
      </c>
      <c r="D38" s="118">
        <f>'[1]IGF FIELD'!D39</f>
        <v>70000</v>
      </c>
      <c r="E38" s="118">
        <f>'[1]IGF FIELD'!E39</f>
        <v>0</v>
      </c>
      <c r="F38" s="119"/>
      <c r="G38" s="120">
        <f>'[1]IGF FIELD'!F39</f>
        <v>0</v>
      </c>
      <c r="H38" s="127"/>
      <c r="I38" s="116">
        <f>'[1]IGF FIELD'!S39</f>
        <v>18600</v>
      </c>
    </row>
    <row r="39" spans="1:9" ht="18" x14ac:dyDescent="0.25">
      <c r="A39" s="117"/>
      <c r="B39" s="117"/>
      <c r="C39" s="112" t="str">
        <f>'[1]IGF FIELD'!B40</f>
        <v>Sub-Total</v>
      </c>
      <c r="D39" s="118">
        <f>'[1]IGF FIELD'!D40</f>
        <v>70000</v>
      </c>
      <c r="E39" s="118">
        <f>'[1]IGF FIELD'!E40</f>
        <v>0</v>
      </c>
      <c r="F39" s="119"/>
      <c r="G39" s="120">
        <f>'[1]IGF FIELD'!F40</f>
        <v>0</v>
      </c>
      <c r="H39" s="120"/>
      <c r="I39" s="116">
        <f>'[1]IGF FIELD'!S40</f>
        <v>18600</v>
      </c>
    </row>
    <row r="40" spans="1:9" ht="18" x14ac:dyDescent="0.25">
      <c r="A40" s="117"/>
      <c r="B40" s="117"/>
      <c r="C40" s="112" t="str">
        <f>'[1]IGF FIELD'!B41</f>
        <v>TRAVEL- TRANSPORT</v>
      </c>
      <c r="D40" s="118">
        <f>'[1]IGF FIELD'!D41</f>
        <v>0</v>
      </c>
      <c r="E40" s="118">
        <f>'[1]IGF FIELD'!E41</f>
        <v>0</v>
      </c>
      <c r="F40" s="119"/>
      <c r="G40" s="120">
        <f>'[1]IGF FIELD'!F41</f>
        <v>0</v>
      </c>
      <c r="H40" s="120"/>
      <c r="I40" s="116">
        <f>'[1]IGF FIELD'!S41</f>
        <v>0</v>
      </c>
    </row>
    <row r="41" spans="1:9" ht="22.5" x14ac:dyDescent="0.55000000000000004">
      <c r="A41" s="117"/>
      <c r="B41" s="117">
        <f>'[1]IGF FIELD'!C42</f>
        <v>2210502</v>
      </c>
      <c r="C41" s="117" t="str">
        <f>'[1]IGF FIELD'!B42</f>
        <v>Maintenance/ Repairs of Official Vehicles</v>
      </c>
      <c r="D41" s="118">
        <f>'[1]IGF FIELD'!D42</f>
        <v>50000</v>
      </c>
      <c r="E41" s="118">
        <f>'[1]IGF FIELD'!E42</f>
        <v>0</v>
      </c>
      <c r="F41" s="124"/>
      <c r="G41" s="120">
        <f>'[1]IGF FIELD'!F43</f>
        <v>31670</v>
      </c>
      <c r="H41" s="123"/>
      <c r="I41" s="116">
        <f>'[1]IGF FIELD'!S42</f>
        <v>16413.55</v>
      </c>
    </row>
    <row r="42" spans="1:9" ht="22.5" x14ac:dyDescent="0.55000000000000004">
      <c r="A42" s="117"/>
      <c r="B42" s="117">
        <f>'[1]IGF FIELD'!C43</f>
        <v>2210503</v>
      </c>
      <c r="C42" s="117" t="str">
        <f>'[1]IGF FIELD'!B43</f>
        <v>Fuel &amp; Lubricants- official Vehicles</v>
      </c>
      <c r="D42" s="118">
        <f>'[1]IGF FIELD'!D43</f>
        <v>160000</v>
      </c>
      <c r="E42" s="118">
        <f>'[1]IGF FIELD'!E43</f>
        <v>0</v>
      </c>
      <c r="F42" s="119"/>
      <c r="G42" s="120">
        <f>'[1]IGF FIELD'!F44</f>
        <v>0</v>
      </c>
      <c r="H42" s="123"/>
      <c r="I42" s="116">
        <f>'[1]IGF FIELD'!S43</f>
        <v>61540</v>
      </c>
    </row>
    <row r="43" spans="1:9" ht="18" x14ac:dyDescent="0.25">
      <c r="A43" s="117"/>
      <c r="B43" s="117">
        <f>'[1]IGF FIELD'!C44</f>
        <v>2210505</v>
      </c>
      <c r="C43" s="117" t="str">
        <f>'[1]IGF FIELD'!B44</f>
        <v>Running cost of official vehicle</v>
      </c>
      <c r="D43" s="118">
        <f>'[1]IGF FIELD'!D44</f>
        <v>55000</v>
      </c>
      <c r="E43" s="118">
        <f>'[1]IGF FIELD'!E44</f>
        <v>0</v>
      </c>
      <c r="F43" s="119"/>
      <c r="G43" s="120">
        <f>'[1]IGF FIELD'!F45</f>
        <v>0</v>
      </c>
      <c r="H43" s="120"/>
      <c r="I43" s="116">
        <f>'[1]IGF FIELD'!S44</f>
        <v>0</v>
      </c>
    </row>
    <row r="44" spans="1:9" ht="18" x14ac:dyDescent="0.25">
      <c r="A44" s="117"/>
      <c r="B44" s="117">
        <f>'[1]IGF FIELD'!C45</f>
        <v>2210517</v>
      </c>
      <c r="C44" s="117" t="str">
        <f>'[1]IGF FIELD'!B45</f>
        <v>Fuel Allocation to Waste Mgt Dept.</v>
      </c>
      <c r="D44" s="118">
        <f>'[1]IGF FIELD'!D45</f>
        <v>0</v>
      </c>
      <c r="E44" s="118">
        <f>'[1]IGF FIELD'!E45</f>
        <v>0</v>
      </c>
      <c r="F44" s="119"/>
      <c r="G44" s="120">
        <f>'[1]IGF FIELD'!F45</f>
        <v>0</v>
      </c>
      <c r="H44" s="120"/>
      <c r="I44" s="116">
        <f>'[1]IGF FIELD'!S45</f>
        <v>0</v>
      </c>
    </row>
    <row r="45" spans="1:9" ht="18" x14ac:dyDescent="0.25">
      <c r="A45" s="117"/>
      <c r="B45" s="117">
        <f>'[1]IGF FIELD'!C46</f>
        <v>2210511</v>
      </c>
      <c r="C45" s="117" t="str">
        <f>'[1]IGF FIELD'!B46</f>
        <v>Local travel cost</v>
      </c>
      <c r="D45" s="118">
        <f>'[1]IGF FIELD'!D46</f>
        <v>247000</v>
      </c>
      <c r="E45" s="118">
        <f>'[1]IGF FIELD'!E46</f>
        <v>0</v>
      </c>
      <c r="F45" s="119"/>
      <c r="G45" s="120">
        <f>'[1]IGF FIELD'!F46</f>
        <v>3710</v>
      </c>
      <c r="H45" s="120"/>
      <c r="I45" s="116">
        <f>'[1]IGF FIELD'!S46</f>
        <v>33505</v>
      </c>
    </row>
    <row r="46" spans="1:9" ht="18" x14ac:dyDescent="0.25">
      <c r="A46" s="117"/>
      <c r="B46" s="117"/>
      <c r="C46" s="112" t="str">
        <f>'[1]IGF FIELD'!B47</f>
        <v>Sub-Total</v>
      </c>
      <c r="D46" s="118">
        <f>'[1]IGF FIELD'!D47</f>
        <v>512000</v>
      </c>
      <c r="E46" s="118">
        <f>'[1]IGF FIELD'!E47</f>
        <v>0</v>
      </c>
      <c r="F46" s="119"/>
      <c r="G46" s="120">
        <f>'[1]IGF FIELD'!F47</f>
        <v>35380</v>
      </c>
      <c r="H46" s="120"/>
      <c r="I46" s="116">
        <f>'[1]IGF FIELD'!S47</f>
        <v>111458.55</v>
      </c>
    </row>
    <row r="47" spans="1:9" ht="18" x14ac:dyDescent="0.25">
      <c r="A47" s="117"/>
      <c r="B47" s="117"/>
      <c r="C47" s="112" t="str">
        <f>'[1]IGF FIELD'!B48</f>
        <v>REPAIRS-MAINTENANCE</v>
      </c>
      <c r="D47" s="118">
        <f>'[1]IGF FIELD'!D48</f>
        <v>0</v>
      </c>
      <c r="E47" s="118">
        <f>'[1]IGF FIELD'!E48</f>
        <v>0</v>
      </c>
      <c r="F47" s="119"/>
      <c r="G47" s="120">
        <f>'[1]IGF FIELD'!F48</f>
        <v>0</v>
      </c>
      <c r="H47" s="120"/>
      <c r="I47" s="116">
        <f>'[1]IGF FIELD'!S48</f>
        <v>0</v>
      </c>
    </row>
    <row r="48" spans="1:9" ht="22.5" x14ac:dyDescent="0.55000000000000004">
      <c r="A48" s="117"/>
      <c r="B48" s="117">
        <f>'[1]IGF FIELD'!C49</f>
        <v>2210602</v>
      </c>
      <c r="C48" s="117" t="str">
        <f>'[1]IGF FIELD'!B49</f>
        <v>Repairs of Residential Building</v>
      </c>
      <c r="D48" s="118">
        <f>'[1]IGF FIELD'!D49</f>
        <v>60000</v>
      </c>
      <c r="E48" s="118">
        <f>'[1]IGF FIELD'!E49</f>
        <v>0</v>
      </c>
      <c r="F48" s="124"/>
      <c r="G48" s="120">
        <f>'[1]IGF FIELD'!F49</f>
        <v>0</v>
      </c>
      <c r="H48" s="123"/>
      <c r="I48" s="116">
        <f>'[1]IGF FIELD'!S49</f>
        <v>0</v>
      </c>
    </row>
    <row r="49" spans="1:9" ht="18" x14ac:dyDescent="0.25">
      <c r="A49" s="117"/>
      <c r="B49" s="117">
        <f>'[1]IGF FIELD'!C50</f>
        <v>2210603</v>
      </c>
      <c r="C49" s="117" t="str">
        <f>'[1]IGF FIELD'!B50</f>
        <v>Repairs of Office Buildings</v>
      </c>
      <c r="D49" s="118">
        <f>'[1]IGF FIELD'!D50</f>
        <v>50000</v>
      </c>
      <c r="E49" s="118">
        <f>'[1]IGF FIELD'!E50</f>
        <v>0</v>
      </c>
      <c r="F49" s="119"/>
      <c r="G49" s="120">
        <f>'[1]IGF FIELD'!F50</f>
        <v>3605</v>
      </c>
      <c r="H49" s="125"/>
      <c r="I49" s="116">
        <f>'[1]IGF FIELD'!S50</f>
        <v>18270</v>
      </c>
    </row>
    <row r="50" spans="1:9" ht="18" x14ac:dyDescent="0.25">
      <c r="A50" s="117"/>
      <c r="B50" s="117">
        <f>'[1]IGF FIELD'!C51</f>
        <v>2210604</v>
      </c>
      <c r="C50" s="117" t="str">
        <f>'[1]IGF FIELD'!B51</f>
        <v>Maintenace of Furniture &amp; Fixtures</v>
      </c>
      <c r="D50" s="118">
        <f>'[1]IGF FIELD'!D51</f>
        <v>9000</v>
      </c>
      <c r="E50" s="118">
        <f>'[1]IGF FIELD'!E51</f>
        <v>0</v>
      </c>
      <c r="F50" s="119"/>
      <c r="G50" s="120">
        <f>'[1]IGF FIELD'!F51</f>
        <v>0</v>
      </c>
      <c r="H50" s="120"/>
      <c r="I50" s="116">
        <f>'[1]IGF FIELD'!S51</f>
        <v>0</v>
      </c>
    </row>
    <row r="51" spans="1:9" ht="18" x14ac:dyDescent="0.25">
      <c r="A51" s="117"/>
      <c r="B51" s="117">
        <f>'[1]IGF FIELD'!C52</f>
        <v>2210605</v>
      </c>
      <c r="C51" s="117" t="str">
        <f>'[1]IGF FIELD'!B52</f>
        <v>Maintenance of Office Equipment</v>
      </c>
      <c r="D51" s="118">
        <f>'[1]IGF FIELD'!D53</f>
        <v>30000</v>
      </c>
      <c r="E51" s="118">
        <f>'[1]IGF FIELD'!E52</f>
        <v>0</v>
      </c>
      <c r="F51" s="119"/>
      <c r="G51" s="120">
        <f>'[1]IGF FIELD'!F52</f>
        <v>0</v>
      </c>
      <c r="H51" s="120"/>
      <c r="I51" s="116">
        <f>'[1]IGF FIELD'!S52</f>
        <v>0</v>
      </c>
    </row>
    <row r="52" spans="1:9" ht="18" x14ac:dyDescent="0.25">
      <c r="A52" s="117"/>
      <c r="B52" s="117">
        <f>'[1]IGF FIELD'!C54</f>
        <v>2210611</v>
      </c>
      <c r="C52" s="117" t="str">
        <f>'[1]IGF FIELD'!B54</f>
        <v>Maint. Of Market</v>
      </c>
      <c r="D52" s="118">
        <f>'[1]IGF FIELD'!D54</f>
        <v>30000</v>
      </c>
      <c r="E52" s="118">
        <f>'[1]IGF FIELD'!E54</f>
        <v>0</v>
      </c>
      <c r="F52" s="119"/>
      <c r="G52" s="120">
        <f>'[1]IGF FIELD'!F54</f>
        <v>0</v>
      </c>
      <c r="H52" s="120"/>
      <c r="I52" s="116">
        <f>'[1]IGF FIELD'!S54</f>
        <v>0</v>
      </c>
    </row>
    <row r="53" spans="1:9" ht="18" x14ac:dyDescent="0.25">
      <c r="A53" s="117"/>
      <c r="B53" s="117">
        <f>'[1]IGF FIELD'!C55</f>
        <v>221061</v>
      </c>
      <c r="C53" s="117" t="str">
        <f>'[1]IGF FIELD'!B55</f>
        <v>Maintenance of Public Toilets</v>
      </c>
      <c r="D53" s="118">
        <f>'[1]IGF FIELD'!D55</f>
        <v>0</v>
      </c>
      <c r="E53" s="118">
        <f>'[1]IGF FIELD'!E55</f>
        <v>0</v>
      </c>
      <c r="F53" s="119"/>
      <c r="G53" s="120">
        <f>'[1]IGF FIELD'!F55</f>
        <v>0</v>
      </c>
      <c r="H53" s="120"/>
      <c r="I53" s="116">
        <f>'[1]IGF FIELD'!S55</f>
        <v>0</v>
      </c>
    </row>
    <row r="54" spans="1:9" ht="18" x14ac:dyDescent="0.25">
      <c r="A54" s="117"/>
      <c r="B54" s="117">
        <f>'[1]IGF FIELD'!C56</f>
        <v>2210612</v>
      </c>
      <c r="C54" s="117" t="str">
        <f>'[1]IGF FIELD'!B56</f>
        <v xml:space="preserve">Contribution-Traditional Authority  (support) </v>
      </c>
      <c r="D54" s="118">
        <f>'[1]IGF FIELD'!D56</f>
        <v>0</v>
      </c>
      <c r="E54" s="118">
        <f>'[1]IGF FIELD'!E56</f>
        <v>0</v>
      </c>
      <c r="F54" s="119"/>
      <c r="G54" s="120">
        <f>'[1]IGF FIELD'!F56</f>
        <v>0</v>
      </c>
      <c r="H54" s="120"/>
      <c r="I54" s="116">
        <f>'[1]IGF FIELD'!S56</f>
        <v>0</v>
      </c>
    </row>
    <row r="55" spans="1:9" ht="18" x14ac:dyDescent="0.25">
      <c r="A55" s="117"/>
      <c r="B55" s="117">
        <f>'[1]IGF FIELD'!C57</f>
        <v>2210614</v>
      </c>
      <c r="C55" s="117" t="str">
        <f>'[1]IGF FIELD'!B57</f>
        <v>Maintenance of Sanit &amp; Sanit. Site (waste mgt)</v>
      </c>
      <c r="D55" s="118">
        <f>'[1]IGF FIELD'!D57</f>
        <v>0</v>
      </c>
      <c r="E55" s="118">
        <f>'[1]IGF FIELD'!E57</f>
        <v>0</v>
      </c>
      <c r="F55" s="119"/>
      <c r="G55" s="120">
        <f>'[1]IGF FIELD'!F57</f>
        <v>0</v>
      </c>
      <c r="H55" s="120"/>
      <c r="I55" s="116">
        <f>'[1]IGF FIELD'!S57</f>
        <v>0</v>
      </c>
    </row>
    <row r="56" spans="1:9" ht="18" x14ac:dyDescent="0.25">
      <c r="A56" s="117"/>
      <c r="B56" s="117">
        <f>'[1]IGF FIELD'!C58</f>
        <v>2210617</v>
      </c>
      <c r="C56" s="117" t="str">
        <f>'[1]IGF FIELD'!B58</f>
        <v>Street Lights/Traffic Lights</v>
      </c>
      <c r="D56" s="118">
        <f>'[1]IGF FIELD'!D58</f>
        <v>50000</v>
      </c>
      <c r="E56" s="118">
        <f>'[1]IGF FIELD'!E58</f>
        <v>0</v>
      </c>
      <c r="F56" s="119"/>
      <c r="G56" s="120">
        <f>'[1]IGF FIELD'!F58</f>
        <v>0</v>
      </c>
      <c r="H56" s="120"/>
      <c r="I56" s="116">
        <f>'[1]IGF FIELD'!S58</f>
        <v>0</v>
      </c>
    </row>
    <row r="57" spans="1:9" ht="18" x14ac:dyDescent="0.25">
      <c r="A57" s="117"/>
      <c r="B57" s="117">
        <f>'[1]IGF FIELD'!C59</f>
        <v>2210618</v>
      </c>
      <c r="C57" s="117" t="str">
        <f>'[1]IGF FIELD'!B59</f>
        <v>Cemetries</v>
      </c>
      <c r="D57" s="118">
        <f>'[1]IGF FIELD'!D59</f>
        <v>15000</v>
      </c>
      <c r="E57" s="118">
        <f>'[1]IGF FIELD'!E59</f>
        <v>0</v>
      </c>
      <c r="F57" s="119"/>
      <c r="G57" s="120">
        <f>'[1]IGF FIELD'!F59</f>
        <v>0</v>
      </c>
      <c r="H57" s="120"/>
      <c r="I57" s="116">
        <f>'[1]IGF FIELD'!S59</f>
        <v>0</v>
      </c>
    </row>
    <row r="58" spans="1:9" ht="18" x14ac:dyDescent="0.25">
      <c r="A58" s="117"/>
      <c r="B58" s="117"/>
      <c r="C58" s="112" t="str">
        <f>'[1]IGF FIELD'!B60</f>
        <v>Sub-Total</v>
      </c>
      <c r="D58" s="118">
        <f>'[1]IGF FIELD'!D60</f>
        <v>274000</v>
      </c>
      <c r="E58" s="118">
        <f>'[1]IGF FIELD'!E60</f>
        <v>0</v>
      </c>
      <c r="F58" s="119"/>
      <c r="G58" s="120">
        <f>'[1]IGF FIELD'!F60</f>
        <v>3605</v>
      </c>
      <c r="H58" s="120"/>
      <c r="I58" s="116">
        <f>'[1]IGF FIELD'!S60</f>
        <v>21928.73</v>
      </c>
    </row>
    <row r="59" spans="1:9" ht="18" x14ac:dyDescent="0.25">
      <c r="A59" s="117"/>
      <c r="B59" s="117"/>
      <c r="C59" s="112" t="str">
        <f>'[1]IGF FIELD'!B61</f>
        <v>TRAINING SEMINAR AND CONFERENCES</v>
      </c>
      <c r="D59" s="118">
        <f>'[1]IGF FIELD'!D61</f>
        <v>0</v>
      </c>
      <c r="E59" s="118">
        <f>'[1]IGF FIELD'!E61</f>
        <v>0</v>
      </c>
      <c r="F59" s="119"/>
      <c r="G59" s="120">
        <f>'[1]IGF FIELD'!F61</f>
        <v>0</v>
      </c>
      <c r="H59" s="120"/>
      <c r="I59" s="116">
        <f>'[1]IGF FIELD'!S61</f>
        <v>0</v>
      </c>
    </row>
    <row r="60" spans="1:9" ht="22.5" x14ac:dyDescent="0.55000000000000004">
      <c r="A60" s="117"/>
      <c r="B60" s="117">
        <f>'[1]IGF FIELD'!C62</f>
        <v>2210709</v>
      </c>
      <c r="C60" s="117" t="str">
        <f>'[1]IGF FIELD'!B62</f>
        <v>Visits/ Conferences / Seminars / Workshop/Meetings</v>
      </c>
      <c r="D60" s="118">
        <f>'[1]IGF FIELD'!D62</f>
        <v>370000</v>
      </c>
      <c r="E60" s="118">
        <f>'[1]IGF FIELD'!E62</f>
        <v>0</v>
      </c>
      <c r="F60" s="122"/>
      <c r="G60" s="120">
        <f>'[1]IGF FIELD'!F62</f>
        <v>0</v>
      </c>
      <c r="H60" s="123"/>
      <c r="I60" s="116">
        <f>'[1]IGF FIELD'!S62</f>
        <v>27573</v>
      </c>
    </row>
    <row r="61" spans="1:9" ht="18" x14ac:dyDescent="0.25">
      <c r="A61" s="117"/>
      <c r="B61" s="117">
        <f>'[1]IGF FIELD'!C63</f>
        <v>2210711</v>
      </c>
      <c r="C61" s="117" t="str">
        <f>'[1]IGF FIELD'!B63</f>
        <v>Public Education &amp; Sensitization</v>
      </c>
      <c r="D61" s="118">
        <f>'[1]IGF FIELD'!D63</f>
        <v>20000</v>
      </c>
      <c r="E61" s="118">
        <f>'[1]IGF FIELD'!E63</f>
        <v>0</v>
      </c>
      <c r="F61" s="119"/>
      <c r="G61" s="120">
        <f>'[1]IGF FIELD'!F64</f>
        <v>0</v>
      </c>
      <c r="H61" s="120"/>
      <c r="I61" s="116">
        <f>'[1]IGF FIELD'!S63</f>
        <v>4575</v>
      </c>
    </row>
    <row r="62" spans="1:9" ht="18" x14ac:dyDescent="0.25">
      <c r="A62" s="117"/>
      <c r="B62" s="117">
        <f>'[1]IGF FIELD'!C64</f>
        <v>2210710</v>
      </c>
      <c r="C62" s="117" t="str">
        <f>'[1]IGF FIELD'!B64</f>
        <v>Staff Development</v>
      </c>
      <c r="D62" s="118" t="s">
        <v>119</v>
      </c>
      <c r="E62" s="118">
        <f>'[1]IGF FIELD'!E64</f>
        <v>0</v>
      </c>
      <c r="F62" s="119"/>
      <c r="G62" s="120">
        <f>'[1]IGF FIELD'!F65</f>
        <v>0</v>
      </c>
      <c r="H62" s="120"/>
      <c r="I62" s="116">
        <f>'[1]IGF FIELD'!S64</f>
        <v>0</v>
      </c>
    </row>
    <row r="63" spans="1:9" ht="18" x14ac:dyDescent="0.25">
      <c r="A63" s="117"/>
      <c r="B63" s="117">
        <f>'[1]IGF FIELD'!C65</f>
        <v>0</v>
      </c>
      <c r="C63" s="112" t="str">
        <f>'[1]IGF FIELD'!B65</f>
        <v>Sub-Total</v>
      </c>
      <c r="D63" s="118">
        <f>'[1]IGF FIELD'!D65</f>
        <v>420000</v>
      </c>
      <c r="E63" s="118">
        <f>'[1]IGF FIELD'!E65</f>
        <v>0</v>
      </c>
      <c r="F63" s="119"/>
      <c r="G63" s="120">
        <f>'[1]IGF FIELD'!F65</f>
        <v>0</v>
      </c>
      <c r="H63" s="120"/>
      <c r="I63" s="116">
        <f>'[1]IGF FIELD'!S65</f>
        <v>32148</v>
      </c>
    </row>
    <row r="64" spans="1:9" ht="18" x14ac:dyDescent="0.25">
      <c r="A64" s="117"/>
      <c r="B64" s="117"/>
      <c r="C64" s="112" t="str">
        <f>'[1]IGF FIELD'!B65</f>
        <v>Sub-Total</v>
      </c>
      <c r="D64" s="112"/>
      <c r="E64" s="118">
        <f>'[1]IGF FIELD'!E66</f>
        <v>0</v>
      </c>
      <c r="F64" s="112"/>
      <c r="G64" s="128">
        <f>'[1]IGF FIELD'!F65</f>
        <v>0</v>
      </c>
      <c r="H64" s="128">
        <f>'[1]IGF FIELD'!G65</f>
        <v>2120</v>
      </c>
      <c r="I64" s="116">
        <f>'[1]IGF FIELD'!S65</f>
        <v>32148</v>
      </c>
    </row>
    <row r="65" spans="1:9" ht="22.5" x14ac:dyDescent="0.55000000000000004">
      <c r="A65" s="117"/>
      <c r="B65" s="117"/>
      <c r="C65" s="112" t="str">
        <f>'[1]IGF FIELD'!B66</f>
        <v>EMPLOYER SOCIAL BENEFITS</v>
      </c>
      <c r="D65" s="118">
        <f>'[1]IGF FIELD'!D66</f>
        <v>0</v>
      </c>
      <c r="E65" s="118">
        <f>'[1]IGF FIELD'!E66</f>
        <v>0</v>
      </c>
      <c r="F65" s="122"/>
      <c r="G65" s="120">
        <f>'[1]IGF FIELD'!F66</f>
        <v>0</v>
      </c>
      <c r="H65" s="123"/>
      <c r="I65" s="116">
        <f>'[1]IGF FIELD'!S66</f>
        <v>0</v>
      </c>
    </row>
    <row r="66" spans="1:9" ht="22.5" x14ac:dyDescent="0.55000000000000004">
      <c r="A66" s="117"/>
      <c r="B66" s="117">
        <f>'[1]IGF FIELD'!C67</f>
        <v>2731102</v>
      </c>
      <c r="C66" s="117" t="str">
        <f>'[1]IGF FIELD'!B67</f>
        <v>Staff &amp; Ass. Members' Welfare</v>
      </c>
      <c r="D66" s="118">
        <f>'[1]IGF FIELD'!D67</f>
        <v>35000</v>
      </c>
      <c r="E66" s="118">
        <f>'[1]IGF FIELD'!E67</f>
        <v>0</v>
      </c>
      <c r="F66" s="119"/>
      <c r="G66" s="120">
        <f>'[1]IGF FIELD'!F67</f>
        <v>0</v>
      </c>
      <c r="H66" s="123"/>
      <c r="I66" s="116">
        <f>'[1]IGF FIELD'!S67</f>
        <v>11000</v>
      </c>
    </row>
    <row r="67" spans="1:9" ht="20.25" x14ac:dyDescent="0.4">
      <c r="A67" s="117"/>
      <c r="B67" s="117"/>
      <c r="C67" s="112" t="str">
        <f>'[1]IGF FIELD'!B68</f>
        <v>Sub-Total</v>
      </c>
      <c r="D67" s="118">
        <f>'[1]IGF FIELD'!D68</f>
        <v>35000</v>
      </c>
      <c r="E67" s="118">
        <f>'[1]IGF FIELD'!E68</f>
        <v>0</v>
      </c>
      <c r="F67" s="119"/>
      <c r="G67" s="120">
        <f>'[1]IGF FIELD'!F68</f>
        <v>0</v>
      </c>
      <c r="H67" s="129"/>
      <c r="I67" s="116">
        <f>'[1]IGF FIELD'!S68</f>
        <v>11000</v>
      </c>
    </row>
    <row r="68" spans="1:9" ht="22.5" x14ac:dyDescent="0.55000000000000004">
      <c r="A68" s="117"/>
      <c r="B68" s="117"/>
      <c r="C68" s="112" t="str">
        <f>'[1]IGF FIELD'!B69</f>
        <v>SPECIAL SERVICES</v>
      </c>
      <c r="D68" s="118">
        <f>'[1]IGF FIELD'!D69</f>
        <v>0</v>
      </c>
      <c r="E68" s="118">
        <f>'[1]IGF FIELD'!E69</f>
        <v>0</v>
      </c>
      <c r="F68" s="119"/>
      <c r="G68" s="120">
        <f>'[1]IGF FIELD'!F69</f>
        <v>0</v>
      </c>
      <c r="H68" s="123"/>
      <c r="I68" s="116">
        <f>'[1]IGF FIELD'!S69</f>
        <v>0</v>
      </c>
    </row>
    <row r="69" spans="1:9" ht="18" x14ac:dyDescent="0.25">
      <c r="A69" s="117"/>
      <c r="B69" s="117">
        <f>'[1]IGF FIELD'!C70</f>
        <v>2210902</v>
      </c>
      <c r="C69" s="117" t="str">
        <f>'[1]IGF FIELD'!B70</f>
        <v>Official Celebration/National demand</v>
      </c>
      <c r="D69" s="118">
        <f>'[1]IGF FIELD'!D70</f>
        <v>45000</v>
      </c>
      <c r="E69" s="118">
        <f>'[1]IGF FIELD'!E70</f>
        <v>0</v>
      </c>
      <c r="F69" s="119"/>
      <c r="G69" s="120">
        <f>'[1]IGF FIELD'!F70</f>
        <v>0</v>
      </c>
      <c r="H69" s="120"/>
      <c r="I69" s="116">
        <f>'[1]IGF FIELD'!S70</f>
        <v>0</v>
      </c>
    </row>
    <row r="70" spans="1:9" ht="18" x14ac:dyDescent="0.25">
      <c r="A70" s="117"/>
      <c r="B70" s="117">
        <f>'[1]IGF FIELD'!C71</f>
        <v>2821010</v>
      </c>
      <c r="C70" s="117" t="str">
        <f>'[1]IGF FIELD'!B71</f>
        <v>RCC Contributions</v>
      </c>
      <c r="D70" s="118">
        <f>'[1]IGF FIELD'!D71</f>
        <v>192855</v>
      </c>
      <c r="E70" s="118">
        <f>'[1]IGF FIELD'!E71</f>
        <v>0</v>
      </c>
      <c r="F70" s="119"/>
      <c r="G70" s="120">
        <f>'[1]IGF FIELD'!F71</f>
        <v>1750</v>
      </c>
      <c r="H70" s="120"/>
      <c r="I70" s="116">
        <f>'[1]IGF FIELD'!S71</f>
        <v>68588</v>
      </c>
    </row>
    <row r="71" spans="1:9" ht="18" x14ac:dyDescent="0.25">
      <c r="A71" s="117"/>
      <c r="B71" s="117">
        <f>'[1]IGF FIELD'!C72</f>
        <v>2210905</v>
      </c>
      <c r="C71" s="117" t="str">
        <f>'[1]IGF FIELD'!B72</f>
        <v>Assembly Members' Sitting Allowances</v>
      </c>
      <c r="D71" s="118">
        <f>'[1]IGF FIELD'!D72</f>
        <v>340000</v>
      </c>
      <c r="E71" s="118">
        <f>'[1]IGF FIELD'!E72</f>
        <v>0</v>
      </c>
      <c r="F71" s="119"/>
      <c r="G71" s="120">
        <f>'[1]IGF FIELD'!F72</f>
        <v>43962</v>
      </c>
      <c r="H71" s="120"/>
      <c r="I71" s="116">
        <f>'[1]IGF FIELD'!S72</f>
        <v>97877</v>
      </c>
    </row>
    <row r="72" spans="1:9" ht="18" x14ac:dyDescent="0.25">
      <c r="A72" s="117"/>
      <c r="B72" s="117">
        <f>'[1]IGF FIELD'!C73</f>
        <v>2210906</v>
      </c>
      <c r="C72" s="117" t="str">
        <f>'[1]IGF FIELD'!B73</f>
        <v>Unit committee /zonal council operations</v>
      </c>
      <c r="D72" s="118">
        <f>'[1]IGF FIELD'!D73</f>
        <v>80000</v>
      </c>
      <c r="E72" s="118">
        <f>'[1]IGF FIELD'!E73</f>
        <v>0</v>
      </c>
      <c r="F72" s="119"/>
      <c r="G72" s="120">
        <f>'[1]IGF FIELD'!F73</f>
        <v>0</v>
      </c>
      <c r="H72" s="120"/>
      <c r="I72" s="116">
        <f>'[1]IGF FIELD'!S73</f>
        <v>0</v>
      </c>
    </row>
    <row r="73" spans="1:9" ht="18" x14ac:dyDescent="0.25">
      <c r="A73" s="117"/>
      <c r="B73" s="117">
        <f>'[1]IGF FIELD'!C74</f>
        <v>2210806</v>
      </c>
      <c r="C73" s="117" t="str">
        <f>'[1]IGF FIELD'!B74</f>
        <v>Workman Compensation/Commission Collectors</v>
      </c>
      <c r="D73" s="118">
        <f>'[1]IGF FIELD'!D74</f>
        <v>250000</v>
      </c>
      <c r="E73" s="118">
        <f>'[1]IGF FIELD'!E74</f>
        <v>0</v>
      </c>
      <c r="F73" s="118"/>
      <c r="G73" s="120">
        <f>'[1]IGF FIELD'!F74</f>
        <v>23923.5</v>
      </c>
      <c r="H73" s="120"/>
      <c r="I73" s="116">
        <f>'[1]IGF FIELD'!S74</f>
        <v>75380.899999999994</v>
      </c>
    </row>
    <row r="74" spans="1:9" ht="18" x14ac:dyDescent="0.25">
      <c r="A74" s="117"/>
      <c r="B74" s="117"/>
      <c r="C74" s="112" t="str">
        <f>'[1]IGF FIELD'!B75</f>
        <v>Sub-Total</v>
      </c>
      <c r="D74" s="118">
        <f>'[1]IGF FIELD'!D75</f>
        <v>907855</v>
      </c>
      <c r="E74" s="118">
        <f>'[1]IGF FIELD'!E75</f>
        <v>0</v>
      </c>
      <c r="F74" s="119"/>
      <c r="G74" s="120">
        <f>'[1]IGF FIELD'!F75</f>
        <v>69635.5</v>
      </c>
      <c r="H74" s="120"/>
      <c r="I74" s="116">
        <f>'[1]IGF FIELD'!S75</f>
        <v>241845.9</v>
      </c>
    </row>
    <row r="75" spans="1:9" ht="22.5" x14ac:dyDescent="0.55000000000000004">
      <c r="A75" s="117"/>
      <c r="B75" s="117"/>
      <c r="C75" s="112" t="str">
        <f>'[1]IGF FIELD'!B76</f>
        <v>CONSULTING SERVICES</v>
      </c>
      <c r="D75" s="118">
        <f>'[1]IGF FIELD'!D76</f>
        <v>0</v>
      </c>
      <c r="E75" s="118">
        <f>'[1]IGF FIELD'!E76</f>
        <v>0</v>
      </c>
      <c r="F75" s="124"/>
      <c r="G75" s="120">
        <f>'[1]IGF FIELD'!F76</f>
        <v>0</v>
      </c>
      <c r="H75" s="126"/>
      <c r="I75" s="116">
        <f>'[1]IGF FIELD'!S76</f>
        <v>0</v>
      </c>
    </row>
    <row r="76" spans="1:9" ht="22.5" x14ac:dyDescent="0.25">
      <c r="A76" s="117"/>
      <c r="B76" s="117">
        <f>'[1]IGF FIELD'!C77</f>
        <v>2210803</v>
      </c>
      <c r="C76" s="112" t="str">
        <f>'[1]IGF FIELD'!B77</f>
        <v xml:space="preserve"> Consultancy Expenses (Food sreeening)</v>
      </c>
      <c r="D76" s="118">
        <f>'[1]IGF FIELD'!D77</f>
        <v>40000</v>
      </c>
      <c r="E76" s="118">
        <f>'[1]IGF FIELD'!E77</f>
        <v>0</v>
      </c>
      <c r="F76" s="119"/>
      <c r="G76" s="120">
        <f>'[1]IGF FIELD'!F77</f>
        <v>0</v>
      </c>
      <c r="H76" s="126"/>
      <c r="I76" s="116">
        <f>'[1]IGF FIELD'!S77</f>
        <v>0</v>
      </c>
    </row>
    <row r="77" spans="1:9" ht="22.5" x14ac:dyDescent="0.25">
      <c r="A77" s="117"/>
      <c r="B77" s="117"/>
      <c r="C77" s="112" t="str">
        <f>'[1]IGF FIELD'!B78</f>
        <v>Sub-Total</v>
      </c>
      <c r="D77" s="118">
        <f>'[1]IGF FIELD'!D78</f>
        <v>40000</v>
      </c>
      <c r="E77" s="118">
        <f>'[1]IGF FIELD'!E78</f>
        <v>0</v>
      </c>
      <c r="F77" s="119"/>
      <c r="G77" s="120">
        <f>'[1]IGF FIELD'!F78</f>
        <v>0</v>
      </c>
      <c r="H77" s="126"/>
      <c r="I77" s="116">
        <f>'[1]IGF FIELD'!S78</f>
        <v>0</v>
      </c>
    </row>
    <row r="78" spans="1:9" ht="22.5" x14ac:dyDescent="0.25">
      <c r="A78" s="117"/>
      <c r="B78" s="117"/>
      <c r="C78" s="112" t="str">
        <f>'[1]IGF FIELD'!B79</f>
        <v>GENERAL  EXPENSES</v>
      </c>
      <c r="D78" s="118">
        <f>'[1]IGF FIELD'!D79</f>
        <v>0</v>
      </c>
      <c r="E78" s="118">
        <f>'[1]IGF FIELD'!E79</f>
        <v>0</v>
      </c>
      <c r="F78" s="119"/>
      <c r="G78" s="120">
        <f>'[1]IGF FIELD'!F79</f>
        <v>0</v>
      </c>
      <c r="H78" s="126"/>
      <c r="I78" s="116">
        <f>'[1]IGF FIELD'!S79</f>
        <v>0</v>
      </c>
    </row>
    <row r="79" spans="1:9" ht="22.5" x14ac:dyDescent="0.25">
      <c r="A79" s="117"/>
      <c r="B79" s="117">
        <f>'[1]IGF FIELD'!C80</f>
        <v>2211304</v>
      </c>
      <c r="C79" s="117" t="str">
        <f>'[1]IGF FIELD'!B80</f>
        <v>Insurance of Official Vehicles</v>
      </c>
      <c r="D79" s="118">
        <f>'[1]IGF FIELD'!D80</f>
        <v>20000</v>
      </c>
      <c r="E79" s="118">
        <f>'[1]IGF FIELD'!E80</f>
        <v>0</v>
      </c>
      <c r="F79" s="119"/>
      <c r="G79" s="120">
        <f>'[1]IGF FIELD'!F80</f>
        <v>0</v>
      </c>
      <c r="H79" s="126"/>
      <c r="I79" s="116">
        <f>'[1]IGF FIELD'!S80</f>
        <v>0</v>
      </c>
    </row>
    <row r="80" spans="1:9" ht="18" x14ac:dyDescent="0.25">
      <c r="A80" s="117"/>
      <c r="B80" s="117">
        <f>'[1]IGF FIELD'!C81</f>
        <v>2821007</v>
      </c>
      <c r="C80" s="117" t="str">
        <f>'[1]IGF FIELD'!B81</f>
        <v>Court Expenses</v>
      </c>
      <c r="D80" s="118">
        <f>'[1]IGF FIELD'!D81</f>
        <v>10000</v>
      </c>
      <c r="E80" s="118">
        <f>'[1]IGF FIELD'!E81</f>
        <v>0</v>
      </c>
      <c r="F80" s="119"/>
      <c r="G80" s="120">
        <f>'[1]IGF FIELD'!F81</f>
        <v>0</v>
      </c>
      <c r="H80" s="120"/>
      <c r="I80" s="116">
        <f>'[1]IGF FIELD'!S81</f>
        <v>0</v>
      </c>
    </row>
    <row r="81" spans="1:9" ht="18" x14ac:dyDescent="0.25">
      <c r="A81" s="117"/>
      <c r="B81" s="117">
        <f>'[1]IGF FIELD'!C82</f>
        <v>2821009</v>
      </c>
      <c r="C81" s="117" t="str">
        <f>'[1]IGF FIELD'!B82</f>
        <v>Donations</v>
      </c>
      <c r="D81" s="118">
        <f>'[1]IGF FIELD'!D82</f>
        <v>90000</v>
      </c>
      <c r="E81" s="118">
        <f>'[1]IGF FIELD'!E82</f>
        <v>0</v>
      </c>
      <c r="F81" s="119"/>
      <c r="G81" s="120">
        <f>'[1]IGF FIELD'!F82</f>
        <v>0</v>
      </c>
      <c r="H81" s="120"/>
      <c r="I81" s="116">
        <f>'[1]IGF FIELD'!S82</f>
        <v>7199</v>
      </c>
    </row>
    <row r="82" spans="1:9" ht="22.5" x14ac:dyDescent="0.55000000000000004">
      <c r="A82" s="117"/>
      <c r="B82" s="117"/>
      <c r="C82" s="112" t="str">
        <f>'[1]IGF FIELD'!B83</f>
        <v>Sub-Total</v>
      </c>
      <c r="D82" s="118">
        <f>'[1]IGF FIELD'!D83</f>
        <v>120000</v>
      </c>
      <c r="E82" s="118">
        <f>'[1]IGF FIELD'!E83</f>
        <v>0</v>
      </c>
      <c r="F82" s="122"/>
      <c r="G82" s="120">
        <f>'[1]IGF FIELD'!F83</f>
        <v>0</v>
      </c>
      <c r="H82" s="123"/>
      <c r="I82" s="116">
        <f>'[1]IGF FIELD'!S83</f>
        <v>7199</v>
      </c>
    </row>
    <row r="83" spans="1:9" ht="18" x14ac:dyDescent="0.25">
      <c r="A83" s="117"/>
      <c r="B83" s="117" t="str">
        <f>'[1]IGF FIELD'!C84</f>
        <v xml:space="preserve"> </v>
      </c>
      <c r="C83" s="112" t="str">
        <f>'[1]IGF FIELD'!B84</f>
        <v>OTHER CHARGES-FEES</v>
      </c>
      <c r="D83" s="118">
        <f>'[1]IGF FIELD'!D84</f>
        <v>0</v>
      </c>
      <c r="E83" s="118">
        <f>'[1]IGF FIELD'!E84</f>
        <v>0</v>
      </c>
      <c r="F83" s="119"/>
      <c r="G83" s="120">
        <f>'[1]IGF FIELD'!F84</f>
        <v>0</v>
      </c>
      <c r="H83" s="120"/>
      <c r="I83" s="116">
        <f>'[1]IGF FIELD'!S84</f>
        <v>0</v>
      </c>
    </row>
    <row r="84" spans="1:9" ht="18" x14ac:dyDescent="0.25">
      <c r="A84" s="117"/>
      <c r="B84" s="117">
        <f>'[1]IGF FIELD'!C85</f>
        <v>2211101</v>
      </c>
      <c r="C84" s="117" t="str">
        <f>'[1]IGF FIELD'!B85</f>
        <v xml:space="preserve">Bank Charges </v>
      </c>
      <c r="D84" s="118">
        <f>'[1]IGF FIELD'!D85</f>
        <v>5000</v>
      </c>
      <c r="E84" s="118">
        <f>'[1]IGF FIELD'!E85</f>
        <v>0</v>
      </c>
      <c r="F84" s="119"/>
      <c r="G84" s="120">
        <f>'[1]IGF FIELD'!F85</f>
        <v>248.26</v>
      </c>
      <c r="H84" s="120"/>
      <c r="I84" s="116">
        <f>'[1]IGF FIELD'!S85</f>
        <v>553.35</v>
      </c>
    </row>
    <row r="85" spans="1:9" ht="18" x14ac:dyDescent="0.25">
      <c r="A85" s="117"/>
      <c r="B85" s="117"/>
      <c r="C85" s="112" t="str">
        <f>'[1]IGF FIELD'!B86</f>
        <v>Sub-Total</v>
      </c>
      <c r="D85" s="118">
        <f>'[1]IGF FIELD'!D86</f>
        <v>5000</v>
      </c>
      <c r="E85" s="118">
        <f>'[1]IGF FIELD'!E86</f>
        <v>0</v>
      </c>
      <c r="F85" s="119"/>
      <c r="G85" s="120">
        <f>'[1]IGF FIELD'!F86</f>
        <v>248.26</v>
      </c>
      <c r="H85" s="120"/>
      <c r="I85" s="116">
        <f>'[1]IGF FIELD'!S86</f>
        <v>553.35</v>
      </c>
    </row>
    <row r="86" spans="1:9" ht="22.5" x14ac:dyDescent="0.55000000000000004">
      <c r="A86" s="117"/>
      <c r="B86" s="117"/>
      <c r="C86" s="112" t="str">
        <f>'[1]IGF FIELD'!B87</f>
        <v>TOTAL GOODS AND SERVICES</v>
      </c>
      <c r="D86" s="118">
        <f>'[1]IGF FIELD'!D87</f>
        <v>3093855</v>
      </c>
      <c r="E86" s="118">
        <f>'[1]IGF FIELD'!E87</f>
        <v>0</v>
      </c>
      <c r="F86" s="126"/>
      <c r="G86" s="120">
        <f>'[1]IGF FIELD'!F87</f>
        <v>151413.76000000001</v>
      </c>
      <c r="H86" s="123"/>
      <c r="I86" s="116">
        <f>I84+I82+I77+I74+I67+I46+I39+I35+I28+I64</f>
        <v>574067.82999999996</v>
      </c>
    </row>
    <row r="87" spans="1:9" ht="18" x14ac:dyDescent="0.25">
      <c r="A87" s="117"/>
      <c r="B87" s="117">
        <f>'[1]IGF FIELD'!C89</f>
        <v>0</v>
      </c>
      <c r="C87" s="117" t="str">
        <f>'[1]IGF FIELD'!B89</f>
        <v>PROCUREMENT OF CANOE</v>
      </c>
      <c r="D87" s="118">
        <f>'[1]IGF FIELD'!D89</f>
        <v>20000</v>
      </c>
      <c r="E87" s="118"/>
      <c r="F87" s="118"/>
      <c r="G87" s="120">
        <f>'[1]IGF FIELD'!F88</f>
        <v>0</v>
      </c>
      <c r="H87" s="118"/>
      <c r="I87" s="118"/>
    </row>
    <row r="88" spans="1:9" ht="18" x14ac:dyDescent="0.25">
      <c r="A88" s="117"/>
      <c r="B88" s="117">
        <f>'[1]IGF FIELD'!C90</f>
        <v>3111204</v>
      </c>
      <c r="C88" s="117" t="str">
        <f>'[1]IGF FIELD'!B90</f>
        <v>MARKET STORE  OLD PREMIER</v>
      </c>
      <c r="D88" s="118">
        <f>'[1]IGF FIELD'!D90</f>
        <v>4000000</v>
      </c>
      <c r="E88" s="118">
        <f>'[1]IGF FIELD'!E88</f>
        <v>0</v>
      </c>
      <c r="F88" s="127"/>
      <c r="G88" s="120">
        <f>'[1]IGF FIELD'!F90</f>
        <v>0</v>
      </c>
      <c r="H88" s="125"/>
      <c r="I88" s="118">
        <f>'[1]IGF FIELD'!S90</f>
        <v>267497.33</v>
      </c>
    </row>
    <row r="89" spans="1:9" ht="18" x14ac:dyDescent="0.25">
      <c r="A89" s="117"/>
      <c r="B89" s="117"/>
      <c r="C89" s="112" t="str">
        <f>'[1]IGF FIELD'!B91</f>
        <v>Sub-Total</v>
      </c>
      <c r="D89" s="118">
        <f>'[1]IGF FIELD'!D91</f>
        <v>4020000</v>
      </c>
      <c r="E89" s="118">
        <f>'[1]IGF FIELD'!E89</f>
        <v>0</v>
      </c>
      <c r="F89" s="127"/>
      <c r="G89" s="120">
        <f>'[1]IGF FIELD'!F89</f>
        <v>0</v>
      </c>
      <c r="H89" s="125"/>
      <c r="I89" s="116">
        <f>'[1]IGF FIELD'!S91</f>
        <v>267497.33</v>
      </c>
    </row>
    <row r="90" spans="1:9" ht="18" x14ac:dyDescent="0.25">
      <c r="A90" s="117"/>
      <c r="B90" s="117"/>
      <c r="C90" s="112" t="str">
        <f>'[1]IGF FIELD'!B92</f>
        <v>GRAND TOTAL IGF</v>
      </c>
      <c r="D90" s="118">
        <f>'[1]IGF FIELD'!D92</f>
        <v>7994356.5499999998</v>
      </c>
      <c r="E90" s="118">
        <f>'[1]IGF FIELD'!E90</f>
        <v>0</v>
      </c>
      <c r="F90" s="127"/>
      <c r="G90" s="120">
        <f>'[1]IGF FIELD'!F92</f>
        <v>205563.11000000002</v>
      </c>
      <c r="H90" s="125"/>
      <c r="I90" s="116">
        <f>I16+I86+I89</f>
        <v>900807.15999999992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69C4-9A4B-4BFD-ABA0-5A23F1229681}">
  <dimension ref="A1:I102"/>
  <sheetViews>
    <sheetView tabSelected="1" workbookViewId="0">
      <selection sqref="A1:I102"/>
    </sheetView>
  </sheetViews>
  <sheetFormatPr defaultRowHeight="15" x14ac:dyDescent="0.25"/>
  <cols>
    <col min="2" max="2" width="12.28515625" bestFit="1" customWidth="1"/>
    <col min="3" max="3" width="63.28515625" customWidth="1"/>
    <col min="4" max="4" width="17.5703125" bestFit="1" customWidth="1"/>
    <col min="5" max="5" width="14.140625" customWidth="1"/>
    <col min="6" max="7" width="16.140625" bestFit="1" customWidth="1"/>
    <col min="8" max="8" width="14" customWidth="1"/>
    <col min="9" max="9" width="16.140625" bestFit="1" customWidth="1"/>
  </cols>
  <sheetData>
    <row r="1" spans="1:9" ht="61.5" customHeight="1" thickTop="1" x14ac:dyDescent="0.25">
      <c r="A1" s="107"/>
      <c r="B1" s="108" t="s">
        <v>111</v>
      </c>
      <c r="C1" s="130" t="s">
        <v>0</v>
      </c>
      <c r="D1" s="131" t="s">
        <v>112</v>
      </c>
      <c r="E1" s="131" t="s">
        <v>3</v>
      </c>
      <c r="F1" s="131" t="s">
        <v>114</v>
      </c>
      <c r="G1" s="132" t="s">
        <v>115</v>
      </c>
      <c r="H1" s="132" t="s">
        <v>116</v>
      </c>
      <c r="I1" s="133" t="s">
        <v>117</v>
      </c>
    </row>
    <row r="2" spans="1:9" ht="18" x14ac:dyDescent="0.25">
      <c r="A2" s="112"/>
      <c r="B2" s="134"/>
      <c r="C2" s="135" t="str">
        <f>'[2]GRANT-FIELD'!A3</f>
        <v>COMPENSATION</v>
      </c>
      <c r="D2" s="136"/>
      <c r="E2" s="136"/>
      <c r="F2" s="136"/>
      <c r="G2" s="137"/>
      <c r="H2" s="137"/>
      <c r="I2" s="138"/>
    </row>
    <row r="3" spans="1:9" ht="18" x14ac:dyDescent="0.25">
      <c r="A3" s="117"/>
      <c r="B3" s="117"/>
      <c r="C3" s="135" t="str">
        <f>'[2]GRANT-FIELD'!A4</f>
        <v>Establish Post</v>
      </c>
      <c r="D3" s="139"/>
      <c r="E3" s="139"/>
      <c r="F3" s="140"/>
      <c r="G3" s="141"/>
      <c r="H3" s="141"/>
      <c r="I3" s="142"/>
    </row>
    <row r="4" spans="1:9" ht="18" x14ac:dyDescent="0.25">
      <c r="A4" s="117"/>
      <c r="B4" s="117"/>
      <c r="C4" s="143" t="str">
        <f>'[1]GRANT-FIELD'!A5</f>
        <v>Central Administration</v>
      </c>
      <c r="D4" s="139">
        <f>'[1]GRANT-FIELD'!C5</f>
        <v>4329066.7200000007</v>
      </c>
      <c r="E4" s="139"/>
      <c r="F4" s="140">
        <f>D4/12</f>
        <v>360755.56000000006</v>
      </c>
      <c r="G4" s="141">
        <f>'[1]GRANT-FIELD'!E5</f>
        <v>0</v>
      </c>
      <c r="H4" s="141"/>
      <c r="I4" s="142">
        <f>'[1]GRANT-FIELD'!R5</f>
        <v>1332062.29</v>
      </c>
    </row>
    <row r="5" spans="1:9" ht="18" x14ac:dyDescent="0.25">
      <c r="A5" s="117"/>
      <c r="B5" s="117"/>
      <c r="C5" s="143" t="str">
        <f>'[1]GRANT-FIELD'!A6</f>
        <v>Human resource</v>
      </c>
      <c r="D5" s="139">
        <f>'[1]GRANT-FIELD'!C6</f>
        <v>356612</v>
      </c>
      <c r="E5" s="139"/>
      <c r="F5" s="140">
        <f t="shared" ref="F5:F69" si="0">D5/12</f>
        <v>29717.666666666668</v>
      </c>
      <c r="G5" s="141">
        <f>'[1]GRANT-FIELD'!E6</f>
        <v>0</v>
      </c>
      <c r="H5" s="141"/>
      <c r="I5" s="142">
        <f>'[1]GRANT-FIELD'!R6</f>
        <v>61017.21</v>
      </c>
    </row>
    <row r="6" spans="1:9" ht="18" x14ac:dyDescent="0.25">
      <c r="A6" s="117"/>
      <c r="B6" s="117"/>
      <c r="C6" s="143" t="str">
        <f>'[1]GRANT-FIELD'!A7</f>
        <v>Statistical Department</v>
      </c>
      <c r="D6" s="139">
        <f>'[1]GRANT-FIELD'!C7</f>
        <v>101824.04</v>
      </c>
      <c r="E6" s="139"/>
      <c r="F6" s="140">
        <f t="shared" si="0"/>
        <v>8485.3366666666661</v>
      </c>
      <c r="G6" s="141">
        <f>'[1]GRANT-FIELD'!E7</f>
        <v>0</v>
      </c>
      <c r="H6" s="141"/>
      <c r="I6" s="142">
        <f>'[1]GRANT-FIELD'!R7</f>
        <v>19822.68</v>
      </c>
    </row>
    <row r="7" spans="1:9" ht="18" x14ac:dyDescent="0.25">
      <c r="A7" s="117"/>
      <c r="B7" s="117"/>
      <c r="C7" s="143" t="str">
        <f>'[1]GRANT-FIELD'!A8</f>
        <v>Environmental Health</v>
      </c>
      <c r="D7" s="139">
        <f>'[1]GRANT-FIELD'!C8</f>
        <v>2492609.6799999997</v>
      </c>
      <c r="E7" s="139"/>
      <c r="F7" s="140">
        <f t="shared" si="0"/>
        <v>207717.4733333333</v>
      </c>
      <c r="G7" s="141">
        <f>'[1]GRANT-FIELD'!E8</f>
        <v>0</v>
      </c>
      <c r="H7" s="141"/>
      <c r="I7" s="142">
        <f>'[1]GRANT-FIELD'!R8</f>
        <v>383981.85</v>
      </c>
    </row>
    <row r="8" spans="1:9" ht="18" x14ac:dyDescent="0.25">
      <c r="A8" s="117"/>
      <c r="B8" s="117"/>
      <c r="C8" s="143" t="str">
        <f>'[1]GRANT-FIELD'!A9</f>
        <v>Agric</v>
      </c>
      <c r="D8" s="139">
        <f>'[1]GRANT-FIELD'!C9</f>
        <v>1604136.48</v>
      </c>
      <c r="E8" s="139"/>
      <c r="F8" s="140">
        <f t="shared" si="0"/>
        <v>133678.04</v>
      </c>
      <c r="G8" s="141">
        <f>'[1]GRANT-FIELD'!E9</f>
        <v>0</v>
      </c>
      <c r="H8" s="141"/>
      <c r="I8" s="142">
        <f>'[1]GRANT-FIELD'!R9</f>
        <v>324418.8</v>
      </c>
    </row>
    <row r="9" spans="1:9" ht="18" x14ac:dyDescent="0.25">
      <c r="A9" s="117"/>
      <c r="B9" s="117"/>
      <c r="C9" s="143" t="str">
        <f>'[1]GRANT-FIELD'!A10</f>
        <v>Physical Planning</v>
      </c>
      <c r="D9" s="139">
        <f>'[1]GRANT-FIELD'!C10</f>
        <v>570434.12</v>
      </c>
      <c r="E9" s="139"/>
      <c r="F9" s="140">
        <f t="shared" si="0"/>
        <v>47536.176666666666</v>
      </c>
      <c r="G9" s="141">
        <f>'[1]GRANT-FIELD'!E10</f>
        <v>0</v>
      </c>
      <c r="H9" s="141"/>
      <c r="I9" s="142">
        <f>'[1]GRANT-FIELD'!R10</f>
        <v>34628.129999999997</v>
      </c>
    </row>
    <row r="10" spans="1:9" ht="18" x14ac:dyDescent="0.25">
      <c r="A10" s="117"/>
      <c r="B10" s="117"/>
      <c r="C10" s="143" t="str">
        <f>'[1]GRANT-FIELD'!A11</f>
        <v>Social wefare &amp; PWD</v>
      </c>
      <c r="D10" s="139">
        <f>'[1]GRANT-FIELD'!C11</f>
        <v>822371.83999999997</v>
      </c>
      <c r="E10" s="139"/>
      <c r="F10" s="140">
        <f t="shared" si="0"/>
        <v>68530.986666666664</v>
      </c>
      <c r="G10" s="141">
        <f>'[1]GRANT-FIELD'!E11</f>
        <v>0</v>
      </c>
      <c r="H10" s="141"/>
      <c r="I10" s="142">
        <f>'[1]GRANT-FIELD'!R11</f>
        <v>0</v>
      </c>
    </row>
    <row r="11" spans="1:9" ht="18" x14ac:dyDescent="0.25">
      <c r="A11" s="117"/>
      <c r="B11" s="117"/>
      <c r="C11" s="143" t="str">
        <f>'[1]GRANT-FIELD'!A12</f>
        <v>Works</v>
      </c>
      <c r="D11" s="139">
        <f>'[1]GRANT-FIELD'!C12</f>
        <v>880273.12</v>
      </c>
      <c r="E11" s="139"/>
      <c r="F11" s="140">
        <f t="shared" si="0"/>
        <v>73356.093333333338</v>
      </c>
      <c r="G11" s="141">
        <f>'[1]GRANT-FIELD'!E12</f>
        <v>0</v>
      </c>
      <c r="H11" s="141"/>
      <c r="I11" s="142">
        <f>'[1]GRANT-FIELD'!R12</f>
        <v>172598.82</v>
      </c>
    </row>
    <row r="12" spans="1:9" ht="18" x14ac:dyDescent="0.25">
      <c r="A12" s="117"/>
      <c r="B12" s="117"/>
      <c r="C12" s="143" t="str">
        <f>'[1]GRANT-FIELD'!A13</f>
        <v>Urban Roads</v>
      </c>
      <c r="D12" s="139">
        <f>'[1]GRANT-FIELD'!C13</f>
        <v>95000</v>
      </c>
      <c r="E12" s="139"/>
      <c r="F12" s="140">
        <f t="shared" si="0"/>
        <v>7916.666666666667</v>
      </c>
      <c r="G12" s="141">
        <f>'[1]GRANT-FIELD'!E13</f>
        <v>0</v>
      </c>
      <c r="H12" s="141"/>
      <c r="I12" s="142">
        <f>'[1]GRANT-FIELD'!R13</f>
        <v>0</v>
      </c>
    </row>
    <row r="13" spans="1:9" ht="20.25" x14ac:dyDescent="0.25">
      <c r="A13" s="112"/>
      <c r="B13" s="112"/>
      <c r="C13" s="143" t="str">
        <f>'[1]GRANT-FIELD'!A14</f>
        <v>SUB-TOTAL</v>
      </c>
      <c r="D13" s="139">
        <f>'[1]GRANT-FIELD'!C14</f>
        <v>11252327.999999998</v>
      </c>
      <c r="E13" s="144"/>
      <c r="F13" s="140">
        <f t="shared" si="0"/>
        <v>937693.99999999988</v>
      </c>
      <c r="G13" s="141">
        <f>'[1]GRANT-FIELD'!E14</f>
        <v>0</v>
      </c>
      <c r="H13" s="144"/>
      <c r="I13" s="142">
        <f>'[1]GRANT-FIELD'!R14</f>
        <v>2328529.7799999993</v>
      </c>
    </row>
    <row r="14" spans="1:9" ht="22.5" x14ac:dyDescent="0.55000000000000004">
      <c r="A14" s="117"/>
      <c r="B14" s="117"/>
      <c r="C14" s="143" t="str">
        <f>'[1]GRANT-FIELD'!A15</f>
        <v>DACF-MAIN</v>
      </c>
      <c r="D14" s="139">
        <f>'[1]GRANT-FIELD'!C15</f>
        <v>0</v>
      </c>
      <c r="E14" s="144"/>
      <c r="F14" s="140">
        <f t="shared" si="0"/>
        <v>0</v>
      </c>
      <c r="G14" s="141">
        <f>'[1]GRANT-FIELD'!E15</f>
        <v>0</v>
      </c>
      <c r="H14" s="145"/>
      <c r="I14" s="142">
        <f>'[1]GRANT-FIELD'!R15</f>
        <v>0</v>
      </c>
    </row>
    <row r="15" spans="1:9" ht="18" x14ac:dyDescent="0.25">
      <c r="A15" s="117"/>
      <c r="B15" s="117"/>
      <c r="C15" s="143" t="str">
        <f>'[1]GRANT-FIELD'!A16</f>
        <v xml:space="preserve">GOODS AND SERVICES </v>
      </c>
      <c r="D15" s="139">
        <f>'[1]GRANT-FIELD'!C16</f>
        <v>0</v>
      </c>
      <c r="E15" s="139"/>
      <c r="F15" s="140">
        <f t="shared" si="0"/>
        <v>0</v>
      </c>
      <c r="G15" s="141">
        <f>'[1]GRANT-FIELD'!E16</f>
        <v>0</v>
      </c>
      <c r="H15" s="141"/>
      <c r="I15" s="142">
        <f>'[1]GRANT-FIELD'!R16</f>
        <v>0</v>
      </c>
    </row>
    <row r="16" spans="1:9" ht="18" x14ac:dyDescent="0.25">
      <c r="A16" s="117"/>
      <c r="B16" s="117"/>
      <c r="C16" s="143" t="str">
        <f>'[1]GRANT-FIELD'!A17</f>
        <v xml:space="preserve">Public Education and Sensitization </v>
      </c>
      <c r="D16" s="139">
        <f>'[1]GRANT-FIELD'!C17</f>
        <v>130000</v>
      </c>
      <c r="E16" s="139"/>
      <c r="F16" s="140">
        <f t="shared" si="0"/>
        <v>10833.333333333334</v>
      </c>
      <c r="G16" s="141">
        <f>'[1]GRANT-FIELD'!E17</f>
        <v>0</v>
      </c>
      <c r="H16" s="141"/>
      <c r="I16" s="142">
        <f>'[1]GRANT-FIELD'!R17</f>
        <v>0</v>
      </c>
    </row>
    <row r="17" spans="1:9" ht="18" x14ac:dyDescent="0.25">
      <c r="A17" s="117" t="s">
        <v>51</v>
      </c>
      <c r="B17" s="117">
        <v>2210711</v>
      </c>
      <c r="C17" s="143" t="str">
        <f>'[1]GRANT-FIELD'!A18</f>
        <v xml:space="preserve">Local Travel Cost </v>
      </c>
      <c r="D17" s="139">
        <f>'[1]GRANT-FIELD'!C18</f>
        <v>165000</v>
      </c>
      <c r="E17" s="139"/>
      <c r="F17" s="140">
        <f t="shared" si="0"/>
        <v>13750</v>
      </c>
      <c r="G17" s="141">
        <f>'[1]GRANT-FIELD'!E18</f>
        <v>0</v>
      </c>
      <c r="H17" s="141"/>
      <c r="I17" s="142">
        <f>'[1]GRANT-FIELD'!R18</f>
        <v>0</v>
      </c>
    </row>
    <row r="18" spans="1:9" ht="18" x14ac:dyDescent="0.25">
      <c r="A18" s="112"/>
      <c r="B18" s="112">
        <v>2210511</v>
      </c>
      <c r="C18" s="143" t="str">
        <f>'[1]GRANT-FIELD'!A19</f>
        <v>Staff Development</v>
      </c>
      <c r="D18" s="139">
        <f>'[1]GRANT-FIELD'!C19</f>
        <v>100000</v>
      </c>
      <c r="E18" s="139"/>
      <c r="F18" s="140">
        <f t="shared" si="0"/>
        <v>8333.3333333333339</v>
      </c>
      <c r="G18" s="141">
        <f>'[1]GRANT-FIELD'!E19</f>
        <v>0</v>
      </c>
      <c r="H18" s="141"/>
      <c r="I18" s="142">
        <f>'[1]GRANT-FIELD'!R19</f>
        <v>0</v>
      </c>
    </row>
    <row r="19" spans="1:9" ht="18" x14ac:dyDescent="0.25">
      <c r="A19" s="117"/>
      <c r="B19" s="117"/>
      <c r="C19" s="143" t="str">
        <f>'[1]GRANT-FIELD'!A20</f>
        <v>Sem/Conf/workshp</v>
      </c>
      <c r="D19" s="139">
        <f>'[1]GRANT-FIELD'!C20</f>
        <v>603000</v>
      </c>
      <c r="E19" s="139"/>
      <c r="F19" s="140">
        <f t="shared" si="0"/>
        <v>50250</v>
      </c>
      <c r="G19" s="141">
        <f>'[1]GRANT-FIELD'!E20</f>
        <v>0</v>
      </c>
      <c r="H19" s="141"/>
      <c r="I19" s="142">
        <f>'[1]GRANT-FIELD'!R20</f>
        <v>16000</v>
      </c>
    </row>
    <row r="20" spans="1:9" ht="18" x14ac:dyDescent="0.25">
      <c r="A20" s="112"/>
      <c r="B20" s="117"/>
      <c r="C20" s="143" t="str">
        <f>'[1]GRANT-FIELD'!A21</f>
        <v>Fuel and lubricant</v>
      </c>
      <c r="D20" s="139">
        <f>'[1]GRANT-FIELD'!C21</f>
        <v>110000</v>
      </c>
      <c r="E20" s="139"/>
      <c r="F20" s="140">
        <f t="shared" si="0"/>
        <v>9166.6666666666661</v>
      </c>
      <c r="G20" s="141">
        <f>'[1]GRANT-FIELD'!E21</f>
        <v>0</v>
      </c>
      <c r="H20" s="141"/>
      <c r="I20" s="142">
        <f>'[1]GRANT-FIELD'!R21</f>
        <v>8209</v>
      </c>
    </row>
    <row r="21" spans="1:9" ht="18" x14ac:dyDescent="0.25">
      <c r="A21" s="117"/>
      <c r="B21" s="117"/>
      <c r="C21" s="143" t="str">
        <f>'[1]GRANT-FIELD'!A22</f>
        <v>Educational support</v>
      </c>
      <c r="D21" s="139">
        <f>'[1]GRANT-FIELD'!C22</f>
        <v>120000</v>
      </c>
      <c r="E21" s="139"/>
      <c r="F21" s="140">
        <f t="shared" si="0"/>
        <v>10000</v>
      </c>
      <c r="G21" s="141">
        <f>'[1]GRANT-FIELD'!E22</f>
        <v>0</v>
      </c>
      <c r="H21" s="141"/>
      <c r="I21" s="142">
        <f>'[1]GRANT-FIELD'!R22</f>
        <v>0</v>
      </c>
    </row>
    <row r="22" spans="1:9" ht="18" x14ac:dyDescent="0.25">
      <c r="A22" s="117"/>
      <c r="B22" s="117"/>
      <c r="C22" s="143" t="str">
        <f>'[1]GRANT-FIELD'!A23</f>
        <v>Cleaning Materials</v>
      </c>
      <c r="D22" s="139">
        <f>'[1]GRANT-FIELD'!C23</f>
        <v>40029</v>
      </c>
      <c r="E22" s="139"/>
      <c r="F22" s="140">
        <f t="shared" si="0"/>
        <v>3335.75</v>
      </c>
      <c r="G22" s="141">
        <f>'[1]GRANT-FIELD'!E23</f>
        <v>0</v>
      </c>
      <c r="H22" s="141"/>
      <c r="I22" s="142">
        <f>'[1]GRANT-FIELD'!R23</f>
        <v>0</v>
      </c>
    </row>
    <row r="23" spans="1:9" ht="18" x14ac:dyDescent="0.25">
      <c r="A23" s="117"/>
      <c r="B23" s="117"/>
      <c r="C23" s="143" t="str">
        <f>'[1]GRANT-FIELD'!A24</f>
        <v>Construction materials(CIP)ELECTROL AREAS</v>
      </c>
      <c r="D23" s="139">
        <f>'[1]GRANT-FIELD'!C24</f>
        <v>240000</v>
      </c>
      <c r="E23" s="139"/>
      <c r="F23" s="140">
        <f t="shared" si="0"/>
        <v>20000</v>
      </c>
      <c r="G23" s="141">
        <f>'[1]GRANT-FIELD'!E24</f>
        <v>0</v>
      </c>
      <c r="H23" s="141"/>
      <c r="I23" s="142">
        <f>'[1]GRANT-FIELD'!R24</f>
        <v>0</v>
      </c>
    </row>
    <row r="24" spans="1:9" ht="18" x14ac:dyDescent="0.25">
      <c r="A24" s="117"/>
      <c r="B24" s="117"/>
      <c r="C24" s="143" t="str">
        <f>'[1]GRANT-FIELD'!A25</f>
        <v>Maintenance of Public facilities</v>
      </c>
      <c r="D24" s="139">
        <f>'[1]GRANT-FIELD'!C25</f>
        <v>100000</v>
      </c>
      <c r="E24" s="139"/>
      <c r="F24" s="140">
        <f t="shared" si="0"/>
        <v>8333.3333333333339</v>
      </c>
      <c r="G24" s="141">
        <f>'[1]GRANT-FIELD'!E25</f>
        <v>0</v>
      </c>
      <c r="H24" s="141"/>
      <c r="I24" s="142">
        <f>'[1]GRANT-FIELD'!R25</f>
        <v>0</v>
      </c>
    </row>
    <row r="25" spans="1:9" ht="18" x14ac:dyDescent="0.25">
      <c r="A25" s="117"/>
      <c r="B25" s="117"/>
      <c r="C25" s="143" t="str">
        <f>'[1]GRANT-FIELD'!A26</f>
        <v>donation</v>
      </c>
      <c r="D25" s="139">
        <f>'[1]GRANT-FIELD'!C26</f>
        <v>260000</v>
      </c>
      <c r="E25" s="139"/>
      <c r="F25" s="140">
        <f t="shared" si="0"/>
        <v>21666.666666666668</v>
      </c>
      <c r="G25" s="141">
        <f>'[1]GRANT-FIELD'!E26</f>
        <v>0</v>
      </c>
      <c r="H25" s="141"/>
      <c r="I25" s="142">
        <f>'[1]GRANT-FIELD'!R26</f>
        <v>30400</v>
      </c>
    </row>
    <row r="26" spans="1:9" ht="18" x14ac:dyDescent="0.25">
      <c r="A26" s="117"/>
      <c r="B26" s="117">
        <v>2210709</v>
      </c>
      <c r="C26" s="143" t="str">
        <f>'[1]GRANT-FIELD'!A27</f>
        <v>official celebration</v>
      </c>
      <c r="D26" s="139">
        <f>'[1]GRANT-FIELD'!C27</f>
        <v>100000</v>
      </c>
      <c r="E26" s="139"/>
      <c r="F26" s="140">
        <f t="shared" si="0"/>
        <v>8333.3333333333339</v>
      </c>
      <c r="G26" s="141">
        <f>'[1]GRANT-FIELD'!E27</f>
        <v>0</v>
      </c>
      <c r="H26" s="141"/>
      <c r="I26" s="142">
        <f>'[1]GRANT-FIELD'!R27</f>
        <v>25700</v>
      </c>
    </row>
    <row r="27" spans="1:9" ht="18" x14ac:dyDescent="0.25">
      <c r="A27" s="117"/>
      <c r="B27" s="117">
        <v>2731102</v>
      </c>
      <c r="C27" s="143" t="str">
        <f>'[1]GRANT-FIELD'!A28</f>
        <v>contribution</v>
      </c>
      <c r="D27" s="139">
        <f>'[1]GRANT-FIELD'!C28</f>
        <v>250000</v>
      </c>
      <c r="E27" s="139"/>
      <c r="F27" s="140">
        <f t="shared" si="0"/>
        <v>20833.333333333332</v>
      </c>
      <c r="G27" s="141">
        <f>'[1]GRANT-FIELD'!E28</f>
        <v>0</v>
      </c>
      <c r="H27" s="141"/>
      <c r="I27" s="142">
        <f>'[1]GRANT-FIELD'!R28</f>
        <v>33860.07</v>
      </c>
    </row>
    <row r="28" spans="1:9" ht="18" x14ac:dyDescent="0.25">
      <c r="A28" s="117"/>
      <c r="B28" s="117"/>
      <c r="C28" s="143" t="str">
        <f>'[1]GRANT-FIELD'!A29</f>
        <v>contract cleaning services chages (decution at source)</v>
      </c>
      <c r="D28" s="139">
        <f>'[1]GRANT-FIELD'!C29</f>
        <v>14000</v>
      </c>
      <c r="E28" s="139"/>
      <c r="F28" s="140">
        <f t="shared" si="0"/>
        <v>1166.6666666666667</v>
      </c>
      <c r="G28" s="141">
        <f>'[1]GRANT-FIELD'!E29</f>
        <v>0</v>
      </c>
      <c r="H28" s="141"/>
      <c r="I28" s="142">
        <f>'[1]GRANT-FIELD'!R29</f>
        <v>0</v>
      </c>
    </row>
    <row r="29" spans="1:9" ht="18" x14ac:dyDescent="0.25">
      <c r="A29" s="117"/>
      <c r="B29" s="117">
        <v>2210623</v>
      </c>
      <c r="C29" s="143" t="str">
        <f>'[1]GRANT-FIELD'!A30</f>
        <v>Repairs of Schools/Colleges</v>
      </c>
      <c r="D29" s="139">
        <f>'[1]GRANT-FIELD'!C30</f>
        <v>330000</v>
      </c>
      <c r="E29" s="139"/>
      <c r="F29" s="140">
        <f t="shared" si="0"/>
        <v>27500</v>
      </c>
      <c r="G29" s="141">
        <f>'[1]GRANT-FIELD'!E30</f>
        <v>0</v>
      </c>
      <c r="H29" s="141"/>
      <c r="I29" s="142">
        <f>'[1]GRANT-FIELD'!R30</f>
        <v>0</v>
      </c>
    </row>
    <row r="30" spans="1:9" ht="18" x14ac:dyDescent="0.25">
      <c r="A30" s="117"/>
      <c r="B30" s="117"/>
      <c r="C30" s="143" t="str">
        <f>'[1]GRANT-FIELD'!A31</f>
        <v>Repairs of official building</v>
      </c>
      <c r="D30" s="139">
        <f>'[1]GRANT-FIELD'!C31</f>
        <v>260000</v>
      </c>
      <c r="E30" s="139"/>
      <c r="F30" s="140">
        <f t="shared" si="0"/>
        <v>21666.666666666668</v>
      </c>
      <c r="G30" s="141">
        <f>'[1]GRANT-FIELD'!E31</f>
        <v>0</v>
      </c>
      <c r="H30" s="141"/>
      <c r="I30" s="142">
        <f>'[1]GRANT-FIELD'!R31</f>
        <v>0</v>
      </c>
    </row>
    <row r="31" spans="1:9" ht="18" x14ac:dyDescent="0.25">
      <c r="A31" s="117"/>
      <c r="B31" s="117"/>
      <c r="C31" s="143" t="str">
        <f>'[1]GRANT-FIELD'!A32</f>
        <v>Repairs and Maint. Of official vechicle</v>
      </c>
      <c r="D31" s="139">
        <f>'[1]GRANT-FIELD'!C32</f>
        <v>8000</v>
      </c>
      <c r="E31" s="139"/>
      <c r="F31" s="140">
        <f t="shared" si="0"/>
        <v>666.66666666666663</v>
      </c>
      <c r="G31" s="141">
        <f>'[1]GRANT-FIELD'!E32</f>
        <v>0</v>
      </c>
      <c r="H31" s="141"/>
      <c r="I31" s="142">
        <f>'[1]GRANT-FIELD'!R32</f>
        <v>20733.22</v>
      </c>
    </row>
    <row r="32" spans="1:9" ht="18" x14ac:dyDescent="0.25">
      <c r="A32" s="117"/>
      <c r="B32" s="117"/>
      <c r="C32" s="143" t="str">
        <f>'[1]GRANT-FIELD'!A33</f>
        <v>local consultancy</v>
      </c>
      <c r="D32" s="139">
        <f>'[1]GRANT-FIELD'!C33</f>
        <v>15000</v>
      </c>
      <c r="E32" s="139"/>
      <c r="F32" s="140">
        <f t="shared" si="0"/>
        <v>1250</v>
      </c>
      <c r="G32" s="141">
        <f>'[1]GRANT-FIELD'!E33</f>
        <v>0</v>
      </c>
      <c r="H32" s="141"/>
      <c r="I32" s="142">
        <f>'[1]GRANT-FIELD'!R33</f>
        <v>0</v>
      </c>
    </row>
    <row r="33" spans="1:9" ht="18" x14ac:dyDescent="0.25">
      <c r="A33" s="117"/>
      <c r="B33" s="117"/>
      <c r="C33" s="143" t="str">
        <f>'[1]GRANT-FIELD'!A34</f>
        <v>Sanitation chargs (deductions at source)</v>
      </c>
      <c r="D33" s="139">
        <f>'[1]GRANT-FIELD'!C34</f>
        <v>200000</v>
      </c>
      <c r="E33" s="139"/>
      <c r="F33" s="140">
        <f t="shared" si="0"/>
        <v>16666.666666666668</v>
      </c>
      <c r="G33" s="141">
        <f>'[1]GRANT-FIELD'!E34</f>
        <v>0</v>
      </c>
      <c r="H33" s="141"/>
      <c r="I33" s="142">
        <f>'[1]GRANT-FIELD'!R34</f>
        <v>0</v>
      </c>
    </row>
    <row r="34" spans="1:9" ht="18" x14ac:dyDescent="0.25">
      <c r="A34" s="117"/>
      <c r="B34" s="117"/>
      <c r="C34" s="143" t="str">
        <f>'[1]GRANT-FIELD'!A35</f>
        <v>Bank charges</v>
      </c>
      <c r="D34" s="139">
        <f>'[1]GRANT-FIELD'!C35</f>
        <v>3000</v>
      </c>
      <c r="E34" s="139"/>
      <c r="F34" s="140">
        <f t="shared" si="0"/>
        <v>250</v>
      </c>
      <c r="G34" s="141">
        <f>'[1]GRANT-FIELD'!E35</f>
        <v>35</v>
      </c>
      <c r="H34" s="141"/>
      <c r="I34" s="142">
        <f>'[1]GRANT-FIELD'!R35</f>
        <v>745</v>
      </c>
    </row>
    <row r="35" spans="1:9" ht="18" x14ac:dyDescent="0.25">
      <c r="A35" s="117"/>
      <c r="B35" s="117">
        <v>2821010</v>
      </c>
      <c r="C35" s="143" t="str">
        <f>'[1]GRANT-FIELD'!A36</f>
        <v>TOTAL GOODS AND SERVICES</v>
      </c>
      <c r="D35" s="139">
        <f>'[1]GRANT-FIELD'!C36</f>
        <v>3048029</v>
      </c>
      <c r="E35" s="139"/>
      <c r="F35" s="140">
        <f t="shared" si="0"/>
        <v>254002.41666666666</v>
      </c>
      <c r="G35" s="141">
        <f>'[1]GRANT-FIELD'!E36</f>
        <v>35</v>
      </c>
      <c r="H35" s="141"/>
      <c r="I35" s="142">
        <f>'[1]GRANT-FIELD'!R36</f>
        <v>135647.29</v>
      </c>
    </row>
    <row r="36" spans="1:9" ht="18" x14ac:dyDescent="0.25">
      <c r="A36" s="117"/>
      <c r="B36" s="117"/>
      <c r="C36" s="143" t="str">
        <f>'[1]GRANT-FIELD'!A37</f>
        <v>CAPITAL EXPENDITURE</v>
      </c>
      <c r="D36" s="139">
        <f>'[1]GRANT-FIELD'!C37</f>
        <v>0</v>
      </c>
      <c r="E36" s="139"/>
      <c r="F36" s="140">
        <f t="shared" si="0"/>
        <v>0</v>
      </c>
      <c r="G36" s="141">
        <f>'[1]GRANT-FIELD'!E37</f>
        <v>0</v>
      </c>
      <c r="H36" s="141"/>
      <c r="I36" s="142">
        <f>'[1]GRANT-FIELD'!R37</f>
        <v>0</v>
      </c>
    </row>
    <row r="37" spans="1:9" ht="18" x14ac:dyDescent="0.25">
      <c r="A37" s="117"/>
      <c r="B37" s="117"/>
      <c r="C37" s="143" t="str">
        <f>'[1]GRANT-FIELD'!A38</f>
        <v xml:space="preserve">Office equipment     </v>
      </c>
      <c r="D37" s="139">
        <f>'[1]GRANT-FIELD'!C38</f>
        <v>260000</v>
      </c>
      <c r="E37" s="139"/>
      <c r="F37" s="140">
        <f t="shared" si="0"/>
        <v>21666.666666666668</v>
      </c>
      <c r="G37" s="141">
        <f>'[1]GRANT-FIELD'!E38</f>
        <v>0</v>
      </c>
      <c r="H37" s="141"/>
      <c r="I37" s="142">
        <f>'[1]GRANT-FIELD'!R38</f>
        <v>0</v>
      </c>
    </row>
    <row r="38" spans="1:9" ht="18" x14ac:dyDescent="0.25">
      <c r="A38" s="117"/>
      <c r="B38" s="117"/>
      <c r="C38" s="143" t="str">
        <f>'[1]GRANT-FIELD'!A39</f>
        <v>ROADS</v>
      </c>
      <c r="D38" s="139">
        <f>'[1]GRANT-FIELD'!C39</f>
        <v>140000</v>
      </c>
      <c r="E38" s="139"/>
      <c r="F38" s="140">
        <f t="shared" si="0"/>
        <v>11666.666666666666</v>
      </c>
      <c r="G38" s="141">
        <f>'[1]GRANT-FIELD'!E39</f>
        <v>0</v>
      </c>
      <c r="H38" s="141"/>
      <c r="I38" s="142">
        <f>'[1]GRANT-FIELD'!R39</f>
        <v>0</v>
      </c>
    </row>
    <row r="39" spans="1:9" ht="18" x14ac:dyDescent="0.25">
      <c r="A39" s="117"/>
      <c r="B39" s="117"/>
      <c r="C39" s="143" t="str">
        <f>'[1]GRANT-FIELD'!A40</f>
        <v>WIP NHealth Centre at Oda Nkwanta</v>
      </c>
      <c r="D39" s="139">
        <f>'[1]GRANT-FIELD'!C40</f>
        <v>45000</v>
      </c>
      <c r="E39" s="139"/>
      <c r="F39" s="140">
        <f t="shared" si="0"/>
        <v>3750</v>
      </c>
      <c r="G39" s="141">
        <f>'[1]GRANT-FIELD'!E40</f>
        <v>0</v>
      </c>
      <c r="H39" s="141"/>
      <c r="I39" s="142">
        <f>'[1]GRANT-FIELD'!R40</f>
        <v>0</v>
      </c>
    </row>
    <row r="40" spans="1:9" ht="18" x14ac:dyDescent="0.25">
      <c r="A40" s="117"/>
      <c r="B40" s="117"/>
      <c r="C40" s="143" t="str">
        <f>'[1]GRANT-FIELD'!A41</f>
        <v xml:space="preserve">Cemeteries Fencing at Oda </v>
      </c>
      <c r="D40" s="139">
        <f>'[1]GRANT-FIELD'!C41</f>
        <v>150000</v>
      </c>
      <c r="E40" s="139"/>
      <c r="F40" s="140">
        <f t="shared" si="0"/>
        <v>12500</v>
      </c>
      <c r="G40" s="141">
        <f>'[1]GRANT-FIELD'!E41</f>
        <v>0</v>
      </c>
      <c r="H40" s="141"/>
      <c r="I40" s="142">
        <f>'[1]GRANT-FIELD'!R41</f>
        <v>0</v>
      </c>
    </row>
    <row r="41" spans="1:9" ht="18" x14ac:dyDescent="0.25">
      <c r="A41" s="117"/>
      <c r="B41" s="117"/>
      <c r="C41" s="143" t="str">
        <f>'[1]GRANT-FIELD'!A42</f>
        <v>Motor Vehicle</v>
      </c>
      <c r="D41" s="139">
        <f>'[1]GRANT-FIELD'!C42</f>
        <v>160000</v>
      </c>
      <c r="E41" s="139"/>
      <c r="F41" s="140">
        <f t="shared" si="0"/>
        <v>13333.333333333334</v>
      </c>
      <c r="G41" s="141">
        <f>'[1]GRANT-FIELD'!E42</f>
        <v>0</v>
      </c>
      <c r="H41" s="141"/>
      <c r="I41" s="142">
        <f>'[1]GRANT-FIELD'!R42</f>
        <v>0</v>
      </c>
    </row>
    <row r="42" spans="1:9" ht="18" x14ac:dyDescent="0.25">
      <c r="A42" s="117"/>
      <c r="B42" s="117">
        <v>3112208</v>
      </c>
      <c r="C42" s="143" t="str">
        <f>'[1]GRANT-FIELD'!A43</f>
        <v>TOTAL ASSETS</v>
      </c>
      <c r="D42" s="139">
        <f>'[1]GRANT-FIELD'!C43</f>
        <v>755000</v>
      </c>
      <c r="E42" s="139"/>
      <c r="F42" s="140">
        <f t="shared" si="0"/>
        <v>62916.666666666664</v>
      </c>
      <c r="G42" s="141">
        <f>'[1]GRANT-FIELD'!E43</f>
        <v>0</v>
      </c>
      <c r="H42" s="141"/>
      <c r="I42" s="142">
        <f>'[1]GRANT-FIELD'!R43</f>
        <v>0</v>
      </c>
    </row>
    <row r="43" spans="1:9" ht="18" x14ac:dyDescent="0.25">
      <c r="A43" s="117"/>
      <c r="B43" s="117"/>
      <c r="C43" s="143" t="str">
        <f>'[1]GRANT-FIELD'!A44</f>
        <v>TOTAL DACF</v>
      </c>
      <c r="D43" s="139">
        <f>'[1]GRANT-FIELD'!C44</f>
        <v>3803029</v>
      </c>
      <c r="E43" s="139"/>
      <c r="F43" s="140">
        <f t="shared" si="0"/>
        <v>316919.08333333331</v>
      </c>
      <c r="G43" s="141">
        <f>'[1]GRANT-FIELD'!E44</f>
        <v>35</v>
      </c>
      <c r="H43" s="141"/>
      <c r="I43" s="142">
        <f>'[1]GRANT-FIELD'!R44</f>
        <v>135647.29</v>
      </c>
    </row>
    <row r="44" spans="1:9" ht="18" x14ac:dyDescent="0.25">
      <c r="A44" s="117"/>
      <c r="B44" s="117"/>
      <c r="C44" s="143" t="str">
        <f>'[1]GRANT-FIELD'!A45</f>
        <v>DACF-MP</v>
      </c>
      <c r="D44" s="139">
        <f>'[1]GRANT-FIELD'!C45</f>
        <v>0</v>
      </c>
      <c r="E44" s="139"/>
      <c r="F44" s="140">
        <f t="shared" si="0"/>
        <v>0</v>
      </c>
      <c r="G44" s="141">
        <f>'[1]GRANT-FIELD'!E45</f>
        <v>0</v>
      </c>
      <c r="H44" s="141"/>
      <c r="I44" s="142">
        <f>'[1]GRANT-FIELD'!R45</f>
        <v>0</v>
      </c>
    </row>
    <row r="45" spans="1:9" ht="18" x14ac:dyDescent="0.25">
      <c r="A45" s="117"/>
      <c r="B45" s="117"/>
      <c r="C45" s="143" t="str">
        <f>'[1]GRANT-FIELD'!A46</f>
        <v xml:space="preserve">GOODS AND SERVICES </v>
      </c>
      <c r="D45" s="139">
        <f>'[1]GRANT-FIELD'!C46</f>
        <v>0</v>
      </c>
      <c r="E45" s="139"/>
      <c r="F45" s="140">
        <f t="shared" si="0"/>
        <v>0</v>
      </c>
      <c r="G45" s="141">
        <f>'[1]GRANT-FIELD'!E46</f>
        <v>0</v>
      </c>
      <c r="H45" s="141"/>
      <c r="I45" s="142">
        <f>'[1]GRANT-FIELD'!R46</f>
        <v>0</v>
      </c>
    </row>
    <row r="46" spans="1:9" ht="20.25" x14ac:dyDescent="0.25">
      <c r="A46" s="117"/>
      <c r="B46" s="117"/>
      <c r="C46" s="143" t="str">
        <f>'[1]GRANT-FIELD'!A47</f>
        <v>Sch. &amp; Bursaries (M.P. C.F.)</v>
      </c>
      <c r="D46" s="139">
        <f>'[1]GRANT-FIELD'!C47</f>
        <v>100000</v>
      </c>
      <c r="E46" s="146"/>
      <c r="F46" s="140">
        <f t="shared" si="0"/>
        <v>8333.3333333333339</v>
      </c>
      <c r="G46" s="141">
        <f>'[1]GRANT-FIELD'!E47</f>
        <v>0</v>
      </c>
      <c r="H46" s="147"/>
      <c r="I46" s="142">
        <f>'[1]GRANT-FIELD'!R47</f>
        <v>19028.560000000001</v>
      </c>
    </row>
    <row r="47" spans="1:9" ht="18" x14ac:dyDescent="0.25">
      <c r="A47" s="117"/>
      <c r="B47" s="117"/>
      <c r="C47" s="143" t="str">
        <f>'[1]GRANT-FIELD'!A48</f>
        <v>Contribution(CIP for Electoral Area</v>
      </c>
      <c r="D47" s="139">
        <f>'[1]GRANT-FIELD'!C48</f>
        <v>500000</v>
      </c>
      <c r="E47" s="139"/>
      <c r="F47" s="140">
        <f t="shared" si="0"/>
        <v>41666.666666666664</v>
      </c>
      <c r="G47" s="141">
        <f>'[1]GRANT-FIELD'!E48</f>
        <v>15894.7</v>
      </c>
      <c r="H47" s="141"/>
      <c r="I47" s="142">
        <f>'[1]GRANT-FIELD'!R48</f>
        <v>165894.70000000001</v>
      </c>
    </row>
    <row r="48" spans="1:9" ht="18" x14ac:dyDescent="0.25">
      <c r="A48" s="117"/>
      <c r="B48" s="117"/>
      <c r="C48" s="143" t="str">
        <f>'[1]GRANT-FIELD'!A49</f>
        <v>bank charges</v>
      </c>
      <c r="D48" s="139">
        <f>'[1]GRANT-FIELD'!C49</f>
        <v>3000</v>
      </c>
      <c r="E48" s="139"/>
      <c r="F48" s="140">
        <f t="shared" si="0"/>
        <v>250</v>
      </c>
      <c r="G48" s="141">
        <f>'[1]GRANT-FIELD'!E49</f>
        <v>125</v>
      </c>
      <c r="H48" s="141"/>
      <c r="I48" s="142">
        <f>'[1]GRANT-FIELD'!R49</f>
        <v>615</v>
      </c>
    </row>
    <row r="49" spans="1:9" ht="18" x14ac:dyDescent="0.25">
      <c r="A49" s="117"/>
      <c r="B49" s="117"/>
      <c r="C49" s="143" t="str">
        <f>'[1]GRANT-FIELD'!A50</f>
        <v>TOTAL DACF-MP</v>
      </c>
      <c r="D49" s="139">
        <f>'[1]GRANT-FIELD'!C50</f>
        <v>603000</v>
      </c>
      <c r="E49" s="139"/>
      <c r="F49" s="140">
        <f t="shared" si="0"/>
        <v>50250</v>
      </c>
      <c r="G49" s="141">
        <f>'[1]GRANT-FIELD'!E50</f>
        <v>16019.7</v>
      </c>
      <c r="H49" s="141"/>
      <c r="I49" s="142">
        <f>'[1]GRANT-FIELD'!R50</f>
        <v>185538.26</v>
      </c>
    </row>
    <row r="50" spans="1:9" ht="18" x14ac:dyDescent="0.25">
      <c r="A50" s="117"/>
      <c r="B50" s="117"/>
      <c r="C50" s="143" t="str">
        <f>'[1]GRANT-FIELD'!A51</f>
        <v>MSHAP</v>
      </c>
      <c r="D50" s="139">
        <f>'[1]GRANT-FIELD'!C51</f>
        <v>0</v>
      </c>
      <c r="E50" s="139"/>
      <c r="F50" s="140">
        <f t="shared" si="0"/>
        <v>0</v>
      </c>
      <c r="G50" s="141">
        <f>'[1]GRANT-FIELD'!E51</f>
        <v>0</v>
      </c>
      <c r="H50" s="141"/>
      <c r="I50" s="142">
        <f>'[1]GRANT-FIELD'!R51</f>
        <v>0</v>
      </c>
    </row>
    <row r="51" spans="1:9" ht="18" x14ac:dyDescent="0.25">
      <c r="A51" s="117"/>
      <c r="B51" s="117"/>
      <c r="C51" s="143" t="str">
        <f>'[1]GRANT-FIELD'!A52</f>
        <v>Public Education</v>
      </c>
      <c r="D51" s="139">
        <f>'[1]GRANT-FIELD'!C52</f>
        <v>80000</v>
      </c>
      <c r="E51" s="139"/>
      <c r="F51" s="140">
        <f t="shared" si="0"/>
        <v>6666.666666666667</v>
      </c>
      <c r="G51" s="141">
        <f>'[1]GRANT-FIELD'!E52</f>
        <v>0</v>
      </c>
      <c r="H51" s="141"/>
      <c r="I51" s="142">
        <f>'[1]GRANT-FIELD'!R52</f>
        <v>0</v>
      </c>
    </row>
    <row r="52" spans="1:9" ht="18" x14ac:dyDescent="0.25">
      <c r="A52" s="117"/>
      <c r="B52" s="117"/>
      <c r="C52" s="143" t="str">
        <f>'[1]GRANT-FIELD'!A53</f>
        <v>bank charges</v>
      </c>
      <c r="D52" s="139">
        <f>'[1]GRANT-FIELD'!C53</f>
        <v>0</v>
      </c>
      <c r="E52" s="139"/>
      <c r="F52" s="140">
        <f t="shared" si="0"/>
        <v>0</v>
      </c>
      <c r="G52" s="141">
        <f>'[1]GRANT-FIELD'!E53</f>
        <v>6</v>
      </c>
      <c r="H52" s="141"/>
      <c r="I52" s="142">
        <f>'[1]GRANT-FIELD'!R53</f>
        <v>40</v>
      </c>
    </row>
    <row r="53" spans="1:9" ht="18" x14ac:dyDescent="0.25">
      <c r="A53" s="117"/>
      <c r="B53" s="117"/>
      <c r="C53" s="143" t="str">
        <f>'[1]GRANT-FIELD'!A54</f>
        <v>TOTAL</v>
      </c>
      <c r="D53" s="139">
        <f>'[1]GRANT-FIELD'!C54</f>
        <v>80000</v>
      </c>
      <c r="E53" s="139"/>
      <c r="F53" s="140">
        <f t="shared" si="0"/>
        <v>6666.666666666667</v>
      </c>
      <c r="G53" s="141">
        <f>'[1]GRANT-FIELD'!E54</f>
        <v>6</v>
      </c>
      <c r="H53" s="141"/>
      <c r="I53" s="142">
        <f>'[1]GRANT-FIELD'!R54</f>
        <v>40</v>
      </c>
    </row>
    <row r="54" spans="1:9" ht="18" x14ac:dyDescent="0.25">
      <c r="A54" s="117"/>
      <c r="B54" s="117"/>
      <c r="C54" s="143" t="str">
        <f>'[1]GRANT-FIELD'!A55</f>
        <v>PWD</v>
      </c>
      <c r="D54" s="139">
        <f>'[1]GRANT-FIELD'!C55</f>
        <v>0</v>
      </c>
      <c r="E54" s="147"/>
      <c r="F54" s="140">
        <f t="shared" si="0"/>
        <v>0</v>
      </c>
      <c r="G54" s="141">
        <f>'[1]GRANT-FIELD'!E55</f>
        <v>0</v>
      </c>
      <c r="H54" s="147"/>
      <c r="I54" s="142">
        <f>'[1]GRANT-FIELD'!R55</f>
        <v>0</v>
      </c>
    </row>
    <row r="55" spans="1:9" ht="18" x14ac:dyDescent="0.25">
      <c r="A55" s="117"/>
      <c r="B55" s="117"/>
      <c r="C55" s="143" t="str">
        <f>'[1]GRANT-FIELD'!A56</f>
        <v>Donation</v>
      </c>
      <c r="D55" s="139">
        <f>'[1]GRANT-FIELD'!C56</f>
        <v>250000</v>
      </c>
      <c r="E55" s="147"/>
      <c r="F55" s="140">
        <f t="shared" si="0"/>
        <v>20833.333333333332</v>
      </c>
      <c r="G55" s="141">
        <f>'[1]GRANT-FIELD'!E56</f>
        <v>0</v>
      </c>
      <c r="H55" s="147"/>
      <c r="I55" s="142">
        <f>'[1]GRANT-FIELD'!R56</f>
        <v>53861</v>
      </c>
    </row>
    <row r="56" spans="1:9" ht="18" x14ac:dyDescent="0.25">
      <c r="A56" s="117"/>
      <c r="B56" s="117"/>
      <c r="C56" s="143" t="str">
        <f>'[1]GRANT-FIELD'!A57</f>
        <v>bank charges</v>
      </c>
      <c r="D56" s="139">
        <f>'[1]GRANT-FIELD'!C57</f>
        <v>0</v>
      </c>
      <c r="E56" s="147"/>
      <c r="F56" s="140">
        <f t="shared" si="0"/>
        <v>0</v>
      </c>
      <c r="G56" s="141">
        <f>'[1]GRANT-FIELD'!E57</f>
        <v>35</v>
      </c>
      <c r="H56" s="141"/>
      <c r="I56" s="142">
        <f>'[1]GRANT-FIELD'!R57</f>
        <v>360</v>
      </c>
    </row>
    <row r="57" spans="1:9" ht="18" x14ac:dyDescent="0.25">
      <c r="A57" s="117"/>
      <c r="B57" s="117"/>
      <c r="C57" s="143" t="str">
        <f>'[1]GRANT-FIELD'!A58</f>
        <v>TOTAL</v>
      </c>
      <c r="D57" s="139">
        <f>'[1]GRANT-FIELD'!C58</f>
        <v>250000</v>
      </c>
      <c r="E57" s="139"/>
      <c r="F57" s="140">
        <f t="shared" si="0"/>
        <v>20833.333333333332</v>
      </c>
      <c r="G57" s="141">
        <f>'[1]GRANT-FIELD'!E58</f>
        <v>35</v>
      </c>
      <c r="H57" s="141"/>
      <c r="I57" s="142">
        <f>'[1]GRANT-FIELD'!R58</f>
        <v>54221</v>
      </c>
    </row>
    <row r="58" spans="1:9" ht="18" x14ac:dyDescent="0.25">
      <c r="A58" s="117"/>
      <c r="B58" s="117"/>
      <c r="C58" s="143" t="s">
        <v>120</v>
      </c>
      <c r="D58" s="139">
        <f>'[1]GRANT-FIELD'!C58</f>
        <v>250000</v>
      </c>
      <c r="E58" s="139">
        <f>'[1]GRANT-FIELD'!D58</f>
        <v>0</v>
      </c>
      <c r="F58" s="139"/>
      <c r="G58" s="139">
        <f>'[1]GRANT-FIELD'!E58</f>
        <v>35</v>
      </c>
      <c r="H58" s="139"/>
      <c r="I58" s="139">
        <f>'[1]GRANT-FIELD'!H58</f>
        <v>53986</v>
      </c>
    </row>
    <row r="59" spans="1:9" ht="18" x14ac:dyDescent="0.25">
      <c r="A59" s="117"/>
      <c r="B59" s="117"/>
      <c r="C59" s="143" t="str">
        <f>'[1]GRANT-FIELD'!A59</f>
        <v>GOG-GOODS AND SERVICES</v>
      </c>
      <c r="D59" s="139">
        <f>'[1]GRANT-FIELD'!C59</f>
        <v>0</v>
      </c>
      <c r="E59" s="139"/>
      <c r="F59" s="140">
        <f t="shared" si="0"/>
        <v>0</v>
      </c>
      <c r="G59" s="141">
        <f>'[1]GRANT-FIELD'!E59</f>
        <v>0</v>
      </c>
      <c r="H59" s="141"/>
      <c r="I59" s="142">
        <f>'[1]GRANT-FIELD'!R59</f>
        <v>0</v>
      </c>
    </row>
    <row r="60" spans="1:9" ht="18" x14ac:dyDescent="0.25">
      <c r="A60" s="117"/>
      <c r="B60" s="117"/>
      <c r="C60" s="143" t="str">
        <f>'[1]GRANT-FIELD'!A60</f>
        <v>Local travel cost</v>
      </c>
      <c r="D60" s="139">
        <f>'[1]GRANT-FIELD'!C60</f>
        <v>88000</v>
      </c>
      <c r="E60" s="139"/>
      <c r="F60" s="140">
        <f t="shared" si="0"/>
        <v>7333.333333333333</v>
      </c>
      <c r="G60" s="141">
        <f>'[1]GRANT-FIELD'!E60</f>
        <v>0</v>
      </c>
      <c r="H60" s="141"/>
      <c r="I60" s="142">
        <f>'[1]GRANT-FIELD'!R60</f>
        <v>0</v>
      </c>
    </row>
    <row r="61" spans="1:9" ht="18" x14ac:dyDescent="0.25">
      <c r="A61" s="117"/>
      <c r="B61" s="117"/>
      <c r="C61" s="143" t="str">
        <f>'[1]GRANT-FIELD'!A61</f>
        <v>local consultancy</v>
      </c>
      <c r="D61" s="139">
        <f>'[1]GRANT-FIELD'!C61</f>
        <v>76400</v>
      </c>
      <c r="E61" s="139"/>
      <c r="F61" s="140">
        <f t="shared" si="0"/>
        <v>6366.666666666667</v>
      </c>
      <c r="G61" s="141">
        <f>'[1]GRANT-FIELD'!E61</f>
        <v>0</v>
      </c>
      <c r="H61" s="141"/>
      <c r="I61" s="142">
        <f>'[1]GRANT-FIELD'!R61</f>
        <v>0</v>
      </c>
    </row>
    <row r="62" spans="1:9" ht="18" x14ac:dyDescent="0.25">
      <c r="A62" s="117"/>
      <c r="B62" s="117"/>
      <c r="C62" s="143" t="str">
        <f>'[1]GRANT-FIELD'!A62</f>
        <v>Staff Development</v>
      </c>
      <c r="D62" s="139">
        <f>'[1]GRANT-FIELD'!C62</f>
        <v>33500</v>
      </c>
      <c r="E62" s="147"/>
      <c r="F62" s="140">
        <f t="shared" si="0"/>
        <v>2791.6666666666665</v>
      </c>
      <c r="G62" s="141">
        <f>'[1]GRANT-FIELD'!E62</f>
        <v>0</v>
      </c>
      <c r="H62" s="147"/>
      <c r="I62" s="142">
        <f>'[1]GRANT-FIELD'!R62</f>
        <v>0</v>
      </c>
    </row>
    <row r="63" spans="1:9" ht="22.5" x14ac:dyDescent="0.55000000000000004">
      <c r="A63" s="117"/>
      <c r="B63" s="117"/>
      <c r="C63" s="143" t="str">
        <f>'[1]GRANT-FIELD'!A63</f>
        <v>Water</v>
      </c>
      <c r="D63" s="139">
        <f>'[1]GRANT-FIELD'!C63</f>
        <v>7000</v>
      </c>
      <c r="E63" s="146"/>
      <c r="F63" s="140">
        <f t="shared" si="0"/>
        <v>583.33333333333337</v>
      </c>
      <c r="G63" s="141">
        <f>'[1]GRANT-FIELD'!E63</f>
        <v>0</v>
      </c>
      <c r="H63" s="145"/>
      <c r="I63" s="142">
        <f>'[1]GRANT-FIELD'!R63</f>
        <v>0</v>
      </c>
    </row>
    <row r="64" spans="1:9" ht="18" x14ac:dyDescent="0.25">
      <c r="A64" s="117"/>
      <c r="B64" s="117"/>
      <c r="C64" s="143" t="str">
        <f>'[1]GRANT-FIELD'!A64</f>
        <v>Maintenance and repeairs of official vehicle(DRIP)</v>
      </c>
      <c r="D64" s="139">
        <f>'[1]GRANT-FIELD'!C64</f>
        <v>1508500</v>
      </c>
      <c r="E64" s="139"/>
      <c r="F64" s="140">
        <f t="shared" si="0"/>
        <v>125708.33333333333</v>
      </c>
      <c r="G64" s="141">
        <f>'[1]GRANT-FIELD'!E64</f>
        <v>0</v>
      </c>
      <c r="H64" s="141"/>
      <c r="I64" s="142">
        <f>'[1]GRANT-FIELD'!R64</f>
        <v>0</v>
      </c>
    </row>
    <row r="65" spans="1:9" ht="18" x14ac:dyDescent="0.25">
      <c r="A65" s="117"/>
      <c r="B65" s="117"/>
      <c r="C65" s="143" t="str">
        <f>'[1]GRANT-FIELD'!A65</f>
        <v>Sem/Conf/workshp</v>
      </c>
      <c r="D65" s="139">
        <f>'[1]GRANT-FIELD'!C65</f>
        <v>112400</v>
      </c>
      <c r="E65" s="139"/>
      <c r="F65" s="140">
        <f t="shared" si="0"/>
        <v>9366.6666666666661</v>
      </c>
      <c r="G65" s="141">
        <f>'[1]GRANT-FIELD'!E65</f>
        <v>0</v>
      </c>
      <c r="H65" s="141"/>
      <c r="I65" s="142">
        <f>'[1]GRANT-FIELD'!R65</f>
        <v>0</v>
      </c>
    </row>
    <row r="66" spans="1:9" ht="20.25" x14ac:dyDescent="0.25">
      <c r="A66" s="117"/>
      <c r="B66" s="117"/>
      <c r="C66" s="143" t="str">
        <f>'[1]GRANT-FIELD'!A66</f>
        <v>printed matereial</v>
      </c>
      <c r="D66" s="139">
        <f>'[1]GRANT-FIELD'!C66</f>
        <v>15000</v>
      </c>
      <c r="E66" s="146"/>
      <c r="F66" s="140">
        <f t="shared" si="0"/>
        <v>1250</v>
      </c>
      <c r="G66" s="141">
        <f>'[1]GRANT-FIELD'!E66</f>
        <v>0</v>
      </c>
      <c r="H66" s="146"/>
      <c r="I66" s="142">
        <f>'[1]GRANT-FIELD'!R66</f>
        <v>0</v>
      </c>
    </row>
    <row r="67" spans="1:9" ht="18" x14ac:dyDescent="0.25">
      <c r="A67" s="117"/>
      <c r="B67" s="117"/>
      <c r="C67" s="143" t="str">
        <f>'[1]GRANT-FIELD'!A67</f>
        <v>Fuel and lubricant</v>
      </c>
      <c r="D67" s="139">
        <f>'[1]GRANT-FIELD'!C67</f>
        <v>16000</v>
      </c>
      <c r="E67" s="139"/>
      <c r="F67" s="140">
        <f t="shared" si="0"/>
        <v>1333.3333333333333</v>
      </c>
      <c r="G67" s="141">
        <f>'[1]GRANT-FIELD'!E67</f>
        <v>0</v>
      </c>
      <c r="H67" s="141"/>
      <c r="I67" s="142">
        <f>'[1]GRANT-FIELD'!R67</f>
        <v>0</v>
      </c>
    </row>
    <row r="68" spans="1:9" ht="18" x14ac:dyDescent="0.25">
      <c r="A68" s="117"/>
      <c r="B68" s="117"/>
      <c r="C68" s="143" t="str">
        <f>'[1]GRANT-FIELD'!A68</f>
        <v>GOG ASSET</v>
      </c>
      <c r="D68" s="139">
        <f>'[1]GRANT-FIELD'!C68</f>
        <v>0</v>
      </c>
      <c r="E68" s="139"/>
      <c r="F68" s="140">
        <f t="shared" si="0"/>
        <v>0</v>
      </c>
      <c r="G68" s="141">
        <f>'[1]GRANT-FIELD'!E68</f>
        <v>0</v>
      </c>
      <c r="H68" s="141"/>
      <c r="I68" s="142">
        <f>'[1]GRANT-FIELD'!R68</f>
        <v>0</v>
      </c>
    </row>
    <row r="69" spans="1:9" ht="18" x14ac:dyDescent="0.25">
      <c r="A69" s="117"/>
      <c r="B69" s="117"/>
      <c r="C69" s="143" t="str">
        <f>'[1]GRANT-FIELD'!A69</f>
        <v>generators</v>
      </c>
      <c r="D69" s="139">
        <f>'[1]GRANT-FIELD'!C69</f>
        <v>20000</v>
      </c>
      <c r="E69" s="139"/>
      <c r="F69" s="140">
        <f t="shared" si="0"/>
        <v>1666.6666666666667</v>
      </c>
      <c r="G69" s="141">
        <f>'[1]GRANT-FIELD'!E69</f>
        <v>0</v>
      </c>
      <c r="H69" s="141"/>
      <c r="I69" s="142">
        <f>'[1]GRANT-FIELD'!R69</f>
        <v>0</v>
      </c>
    </row>
    <row r="70" spans="1:9" ht="20.25" x14ac:dyDescent="0.25">
      <c r="A70" s="117"/>
      <c r="B70" s="117"/>
      <c r="C70" s="143" t="str">
        <f>'[1]GRANT-FIELD'!A70</f>
        <v xml:space="preserve">Office equipment     </v>
      </c>
      <c r="D70" s="139">
        <f>'[1]GRANT-FIELD'!C70</f>
        <v>73100</v>
      </c>
      <c r="E70" s="146"/>
      <c r="F70" s="140">
        <f t="shared" ref="F70:F102" si="1">D70/12</f>
        <v>6091.666666666667</v>
      </c>
      <c r="G70" s="141">
        <f>'[1]GRANT-FIELD'!E70</f>
        <v>0</v>
      </c>
      <c r="H70" s="146"/>
      <c r="I70" s="142">
        <f>'[1]GRANT-FIELD'!R70</f>
        <v>0</v>
      </c>
    </row>
    <row r="71" spans="1:9" ht="18" x14ac:dyDescent="0.25">
      <c r="A71" s="117"/>
      <c r="B71" s="117"/>
      <c r="C71" s="143" t="str">
        <f>'[1]GRANT-FIELD'!A71</f>
        <v>SUB-TOTAL</v>
      </c>
      <c r="D71" s="139">
        <f>'[1]GRANT-FIELD'!C71</f>
        <v>1949900</v>
      </c>
      <c r="E71" s="139"/>
      <c r="F71" s="140">
        <f t="shared" si="1"/>
        <v>162491.66666666666</v>
      </c>
      <c r="G71" s="141">
        <f>'[1]GRANT-FIELD'!E71</f>
        <v>0</v>
      </c>
      <c r="H71" s="141"/>
      <c r="I71" s="142">
        <f>'[1]GRANT-FIELD'!R71</f>
        <v>0</v>
      </c>
    </row>
    <row r="72" spans="1:9" ht="18" x14ac:dyDescent="0.25">
      <c r="A72" s="117"/>
      <c r="B72" s="117">
        <v>2210511</v>
      </c>
      <c r="C72" s="143" t="str">
        <f>'[1]GRANT-FIELD'!A72</f>
        <v>DISTRICT DEV. FUND(DDF)</v>
      </c>
      <c r="D72" s="139">
        <f>'[1]GRANT-FIELD'!C72</f>
        <v>0</v>
      </c>
      <c r="E72" s="139"/>
      <c r="F72" s="140">
        <f t="shared" si="1"/>
        <v>0</v>
      </c>
      <c r="G72" s="141">
        <f>'[1]GRANT-FIELD'!E72</f>
        <v>0</v>
      </c>
      <c r="H72" s="139"/>
      <c r="I72" s="142">
        <f>'[1]GRANT-FIELD'!R72</f>
        <v>0</v>
      </c>
    </row>
    <row r="73" spans="1:9" ht="18" x14ac:dyDescent="0.25">
      <c r="A73" s="117"/>
      <c r="B73" s="117"/>
      <c r="C73" s="143" t="str">
        <f>'[1]GRANT-FIELD'!A73</f>
        <v>CAPACITY</v>
      </c>
      <c r="D73" s="139">
        <f>'[1]GRANT-FIELD'!C73</f>
        <v>0</v>
      </c>
      <c r="E73" s="139"/>
      <c r="F73" s="140">
        <f t="shared" si="1"/>
        <v>0</v>
      </c>
      <c r="G73" s="141">
        <f>'[1]GRANT-FIELD'!E73</f>
        <v>0</v>
      </c>
      <c r="H73" s="139"/>
      <c r="I73" s="142">
        <f>'[1]GRANT-FIELD'!R73</f>
        <v>0</v>
      </c>
    </row>
    <row r="74" spans="1:9" ht="18" x14ac:dyDescent="0.25">
      <c r="A74" s="117"/>
      <c r="B74" s="117"/>
      <c r="C74" s="143" t="str">
        <f>'[1]GRANT-FIELD'!A74</f>
        <v>instalation of street light</v>
      </c>
      <c r="D74" s="139">
        <f>'[1]GRANT-FIELD'!C74</f>
        <v>170000</v>
      </c>
      <c r="E74" s="139"/>
      <c r="F74" s="140">
        <f t="shared" si="1"/>
        <v>14166.666666666666</v>
      </c>
      <c r="G74" s="141">
        <f>'[1]GRANT-FIELD'!E74</f>
        <v>0</v>
      </c>
      <c r="H74" s="139"/>
      <c r="I74" s="142">
        <f>'[1]GRANT-FIELD'!R74</f>
        <v>0</v>
      </c>
    </row>
    <row r="75" spans="1:9" ht="18" x14ac:dyDescent="0.25">
      <c r="A75" s="117"/>
      <c r="B75" s="117"/>
      <c r="C75" s="143" t="str">
        <f>'[1]GRANT-FIELD'!A75</f>
        <v>Staff development</v>
      </c>
      <c r="D75" s="139">
        <f>'[1]GRANT-FIELD'!C75</f>
        <v>50000</v>
      </c>
      <c r="E75" s="139"/>
      <c r="F75" s="140">
        <f t="shared" si="1"/>
        <v>4166.666666666667</v>
      </c>
      <c r="G75" s="141">
        <f>'[1]GRANT-FIELD'!E75</f>
        <v>0</v>
      </c>
      <c r="H75" s="139"/>
      <c r="I75" s="142">
        <f>'[1]GRANT-FIELD'!R75</f>
        <v>0</v>
      </c>
    </row>
    <row r="76" spans="1:9" ht="18" x14ac:dyDescent="0.25">
      <c r="A76" s="117"/>
      <c r="B76" s="117"/>
      <c r="C76" s="143" t="str">
        <f>'[1]GRANT-FIELD'!A76</f>
        <v>SUB-TOTAL</v>
      </c>
      <c r="D76" s="139">
        <f>'[1]GRANT-FIELD'!C76</f>
        <v>220000</v>
      </c>
      <c r="E76" s="139"/>
      <c r="F76" s="140">
        <f t="shared" si="1"/>
        <v>18333.333333333332</v>
      </c>
      <c r="G76" s="141">
        <f>'[1]GRANT-FIELD'!E76</f>
        <v>0</v>
      </c>
      <c r="H76" s="139"/>
      <c r="I76" s="142">
        <f>'[1]GRANT-FIELD'!R76</f>
        <v>0</v>
      </c>
    </row>
    <row r="77" spans="1:9" ht="18" x14ac:dyDescent="0.25">
      <c r="A77" s="117"/>
      <c r="B77" s="117">
        <v>2210709</v>
      </c>
      <c r="C77" s="143" t="str">
        <f>'[1]GRANT-FIELD'!A77</f>
        <v>ASSET</v>
      </c>
      <c r="D77" s="139">
        <f>'[1]GRANT-FIELD'!C77</f>
        <v>0</v>
      </c>
      <c r="E77" s="139"/>
      <c r="F77" s="140">
        <f t="shared" si="1"/>
        <v>0</v>
      </c>
      <c r="G77" s="141">
        <f>'[1]GRANT-FIELD'!E77</f>
        <v>0</v>
      </c>
      <c r="H77" s="139"/>
      <c r="I77" s="142">
        <f>'[1]GRANT-FIELD'!R77</f>
        <v>0</v>
      </c>
    </row>
    <row r="78" spans="1:9" ht="18" x14ac:dyDescent="0.25">
      <c r="A78" s="117"/>
      <c r="B78" s="117"/>
      <c r="C78" s="143" t="str">
        <f>'[1]GRANT-FIELD'!A78</f>
        <v>const.1No Foot Bridge at Cocoa shed</v>
      </c>
      <c r="D78" s="139">
        <f>'[1]GRANT-FIELD'!C78</f>
        <v>540000</v>
      </c>
      <c r="E78" s="139"/>
      <c r="F78" s="140">
        <f t="shared" si="1"/>
        <v>45000</v>
      </c>
      <c r="G78" s="141">
        <f>'[1]GRANT-FIELD'!E78</f>
        <v>0</v>
      </c>
      <c r="H78" s="139"/>
      <c r="I78" s="142">
        <f>'[1]GRANT-FIELD'!R78</f>
        <v>0</v>
      </c>
    </row>
    <row r="79" spans="1:9" ht="18" x14ac:dyDescent="0.25">
      <c r="A79" s="117"/>
      <c r="B79" s="117"/>
      <c r="C79" s="143" t="str">
        <f>'[1]GRANT-FIELD'!A79</f>
        <v xml:space="preserve">2No. Const. 6 Seater W/C toilet at YEBOA KROM </v>
      </c>
      <c r="D79" s="139">
        <f>'[1]GRANT-FIELD'!C79</f>
        <v>800000</v>
      </c>
      <c r="E79" s="139"/>
      <c r="F79" s="140">
        <f t="shared" si="1"/>
        <v>66666.666666666672</v>
      </c>
      <c r="G79" s="141">
        <f>'[1]GRANT-FIELD'!E79</f>
        <v>0</v>
      </c>
      <c r="H79" s="139"/>
      <c r="I79" s="142">
        <f>'[1]GRANT-FIELD'!R79</f>
        <v>0</v>
      </c>
    </row>
    <row r="80" spans="1:9" ht="18" x14ac:dyDescent="0.25">
      <c r="A80" s="117"/>
      <c r="B80" s="117"/>
      <c r="C80" s="143" t="str">
        <f>'[1]GRANT-FIELD'!A80</f>
        <v>Const.6-unit school Building at Presby, Akim Aboabo  and Supply of Furniture</v>
      </c>
      <c r="D80" s="139">
        <f>'[1]GRANT-FIELD'!C80</f>
        <v>0</v>
      </c>
      <c r="E80" s="139"/>
      <c r="F80" s="140">
        <f t="shared" si="1"/>
        <v>0</v>
      </c>
      <c r="G80" s="141">
        <f>'[1]GRANT-FIELD'!E80</f>
        <v>0</v>
      </c>
      <c r="H80" s="139"/>
      <c r="I80" s="142">
        <f>'[1]GRANT-FIELD'!R80</f>
        <v>0</v>
      </c>
    </row>
    <row r="81" spans="1:9" ht="20.25" x14ac:dyDescent="0.25">
      <c r="A81" s="117"/>
      <c r="B81" s="117"/>
      <c r="C81" s="143" t="str">
        <f>'[1]GRANT-FIELD'!A81</f>
        <v>SUB-TOTAL-ASSET</v>
      </c>
      <c r="D81" s="139">
        <f>'[1]GRANT-FIELD'!C81</f>
        <v>1340000</v>
      </c>
      <c r="E81" s="146"/>
      <c r="F81" s="140">
        <f t="shared" si="1"/>
        <v>111666.66666666667</v>
      </c>
      <c r="G81" s="141">
        <f>'[1]GRANT-FIELD'!E81</f>
        <v>0</v>
      </c>
      <c r="H81" s="146"/>
      <c r="I81" s="142">
        <f>'[1]GRANT-FIELD'!R81</f>
        <v>0</v>
      </c>
    </row>
    <row r="82" spans="1:9" ht="18" x14ac:dyDescent="0.25">
      <c r="A82" s="117"/>
      <c r="B82" s="117"/>
      <c r="C82" s="143" t="str">
        <f>'[1]GRANT-FIELD'!A82</f>
        <v>TOTAL</v>
      </c>
      <c r="D82" s="139">
        <f>'[1]GRANT-FIELD'!C82</f>
        <v>1560000</v>
      </c>
      <c r="E82" s="139"/>
      <c r="F82" s="140">
        <f t="shared" si="1"/>
        <v>130000</v>
      </c>
      <c r="G82" s="141">
        <f>'[1]GRANT-FIELD'!E82</f>
        <v>0</v>
      </c>
      <c r="H82" s="141"/>
      <c r="I82" s="142">
        <f>'[1]GRANT-FIELD'!R82</f>
        <v>0</v>
      </c>
    </row>
    <row r="83" spans="1:9" ht="18" x14ac:dyDescent="0.25">
      <c r="A83" s="117"/>
      <c r="B83" s="117"/>
      <c r="C83" s="143" t="str">
        <f>'[1]GRANT-FIELD'!A83</f>
        <v>UDG-GSCSP</v>
      </c>
      <c r="D83" s="139">
        <f>'[1]GRANT-FIELD'!C83</f>
        <v>0</v>
      </c>
      <c r="E83" s="139"/>
      <c r="F83" s="140">
        <f t="shared" si="1"/>
        <v>0</v>
      </c>
      <c r="G83" s="141">
        <f>'[1]GRANT-FIELD'!E83</f>
        <v>0</v>
      </c>
      <c r="H83" s="141"/>
      <c r="I83" s="142">
        <f>'[1]GRANT-FIELD'!R83</f>
        <v>0</v>
      </c>
    </row>
    <row r="84" spans="1:9" ht="18" x14ac:dyDescent="0.25">
      <c r="A84" s="117"/>
      <c r="B84" s="117"/>
      <c r="C84" s="143" t="str">
        <f>'[1]GRANT-FIELD'!A84</f>
        <v>CAPACITY</v>
      </c>
      <c r="D84" s="139">
        <f>'[1]GRANT-FIELD'!C84</f>
        <v>0</v>
      </c>
      <c r="E84" s="139"/>
      <c r="F84" s="140">
        <f t="shared" si="1"/>
        <v>0</v>
      </c>
      <c r="G84" s="141">
        <f>'[1]GRANT-FIELD'!E84</f>
        <v>0</v>
      </c>
      <c r="H84" s="141"/>
      <c r="I84" s="142">
        <f>'[1]GRANT-FIELD'!R84</f>
        <v>0</v>
      </c>
    </row>
    <row r="85" spans="1:9" ht="22.5" x14ac:dyDescent="0.55000000000000004">
      <c r="A85" s="117"/>
      <c r="B85" s="117"/>
      <c r="C85" s="143" t="str">
        <f>'[1]GRANT-FIELD'!A85</f>
        <v>Staff development</v>
      </c>
      <c r="D85" s="139">
        <f>'[1]GRANT-FIELD'!C85</f>
        <v>800000</v>
      </c>
      <c r="E85" s="139"/>
      <c r="F85" s="140">
        <f t="shared" si="1"/>
        <v>66666.666666666672</v>
      </c>
      <c r="G85" s="141">
        <f>'[1]GRANT-FIELD'!E85</f>
        <v>51400</v>
      </c>
      <c r="H85" s="145"/>
      <c r="I85" s="142">
        <f>'[1]GRANT-FIELD'!R85</f>
        <v>373499.88</v>
      </c>
    </row>
    <row r="86" spans="1:9" ht="20.25" x14ac:dyDescent="0.25">
      <c r="A86" s="117"/>
      <c r="B86" s="117"/>
      <c r="C86" s="143" t="str">
        <f>'[1]GRANT-FIELD'!A86</f>
        <v>supply of elecrical assories</v>
      </c>
      <c r="D86" s="139">
        <f>'[1]GRANT-FIELD'!C86</f>
        <v>4417000</v>
      </c>
      <c r="E86" s="146"/>
      <c r="F86" s="140">
        <f t="shared" si="1"/>
        <v>368083.33333333331</v>
      </c>
      <c r="G86" s="141">
        <f>'[1]GRANT-FIELD'!E86</f>
        <v>0</v>
      </c>
      <c r="H86" s="146"/>
      <c r="I86" s="142">
        <f>'[1]GRANT-FIELD'!R86</f>
        <v>0</v>
      </c>
    </row>
    <row r="87" spans="1:9" ht="22.5" x14ac:dyDescent="0.55000000000000004">
      <c r="A87" s="117"/>
      <c r="B87" s="117"/>
      <c r="C87" s="143" t="str">
        <f>'[1]GRANT-FIELD'!A87</f>
        <v>Other consultancy</v>
      </c>
      <c r="D87" s="139">
        <f>'[1]GRANT-FIELD'!C87</f>
        <v>0</v>
      </c>
      <c r="E87" s="146"/>
      <c r="F87" s="140">
        <f t="shared" si="1"/>
        <v>0</v>
      </c>
      <c r="G87" s="141">
        <f>'[1]GRANT-FIELD'!E87</f>
        <v>0</v>
      </c>
      <c r="H87" s="145"/>
      <c r="I87" s="142">
        <f>'[1]GRANT-FIELD'!R87</f>
        <v>0</v>
      </c>
    </row>
    <row r="88" spans="1:9" ht="18" x14ac:dyDescent="0.25">
      <c r="A88" s="117"/>
      <c r="B88" s="117"/>
      <c r="C88" s="143" t="str">
        <f>'[1]GRANT-FIELD'!A88</f>
        <v>SUB-TOTAL</v>
      </c>
      <c r="D88" s="139">
        <f>'[1]GRANT-FIELD'!C88</f>
        <v>5217000</v>
      </c>
      <c r="E88" s="139"/>
      <c r="F88" s="140">
        <f t="shared" si="1"/>
        <v>434750</v>
      </c>
      <c r="G88" s="141">
        <f>'[1]GRANT-FIELD'!E88</f>
        <v>51400</v>
      </c>
      <c r="H88" s="141"/>
      <c r="I88" s="142">
        <f>'[1]GRANT-FIELD'!R88</f>
        <v>373499.88</v>
      </c>
    </row>
    <row r="89" spans="1:9" ht="18" x14ac:dyDescent="0.25">
      <c r="A89" s="117"/>
      <c r="B89" s="117"/>
      <c r="C89" s="143" t="str">
        <f>'[1]GRANT-FIELD'!A89</f>
        <v>ASSET</v>
      </c>
      <c r="D89" s="139">
        <f>'[1]GRANT-FIELD'!C89</f>
        <v>0</v>
      </c>
      <c r="E89" s="139"/>
      <c r="F89" s="140">
        <f t="shared" si="1"/>
        <v>0</v>
      </c>
      <c r="G89" s="141">
        <f>'[1]GRANT-FIELD'!E89</f>
        <v>0</v>
      </c>
      <c r="H89" s="139"/>
      <c r="I89" s="142">
        <f>'[1]GRANT-FIELD'!R89</f>
        <v>0</v>
      </c>
    </row>
    <row r="90" spans="1:9" ht="18" x14ac:dyDescent="0.25">
      <c r="A90" s="117"/>
      <c r="B90" s="117"/>
      <c r="C90" s="143" t="str">
        <f>'[1]GRANT-FIELD'!A90</f>
        <v>purchase of computer and assoseries</v>
      </c>
      <c r="D90" s="139">
        <f>'[1]GRANT-FIELD'!C90</f>
        <v>500000</v>
      </c>
      <c r="E90" s="139"/>
      <c r="F90" s="140">
        <f t="shared" si="1"/>
        <v>41666.666666666664</v>
      </c>
      <c r="G90" s="141">
        <f>'[1]GRANT-FIELD'!E90</f>
        <v>0</v>
      </c>
      <c r="H90" s="141"/>
      <c r="I90" s="142">
        <f>'[1]GRANT-FIELD'!R90</f>
        <v>0</v>
      </c>
    </row>
    <row r="91" spans="1:9" ht="18" x14ac:dyDescent="0.25">
      <c r="A91" s="117"/>
      <c r="B91" s="117"/>
      <c r="C91" s="143" t="str">
        <f>'[1]GRANT-FIELD'!A91</f>
        <v>wip:const . 68 market store  and u drain iod premier to bongore stream</v>
      </c>
      <c r="D91" s="139">
        <f>'[1]GRANT-FIELD'!C91</f>
        <v>600000</v>
      </c>
      <c r="E91" s="139"/>
      <c r="F91" s="140">
        <f t="shared" si="1"/>
        <v>50000</v>
      </c>
      <c r="G91" s="141">
        <f>'[1]GRANT-FIELD'!E91</f>
        <v>0</v>
      </c>
      <c r="H91" s="141"/>
      <c r="I91" s="142">
        <f>'[1]GRANT-FIELD'!R91</f>
        <v>0</v>
      </c>
    </row>
    <row r="92" spans="1:9" ht="18" x14ac:dyDescent="0.25">
      <c r="A92" s="112">
        <v>26</v>
      </c>
      <c r="B92" s="117"/>
      <c r="C92" s="143" t="str">
        <f>'[1]GRANT-FIELD'!A92</f>
        <v>WIP: complet 102 market store and other facilities  at nkwantanum-2019 GSCSP</v>
      </c>
      <c r="D92" s="139">
        <f>'[1]GRANT-FIELD'!C92</f>
        <v>500000</v>
      </c>
      <c r="E92" s="139"/>
      <c r="F92" s="140">
        <f t="shared" si="1"/>
        <v>41666.666666666664</v>
      </c>
      <c r="G92" s="141">
        <f>'[1]GRANT-FIELD'!E92</f>
        <v>0</v>
      </c>
      <c r="H92" s="147"/>
      <c r="I92" s="142">
        <f>'[1]GRANT-FIELD'!R92</f>
        <v>0</v>
      </c>
    </row>
    <row r="93" spans="1:9" ht="20.25" x14ac:dyDescent="0.25">
      <c r="A93" s="117"/>
      <c r="B93" s="117"/>
      <c r="C93" s="143" t="str">
        <f>'[1]GRANT-FIELD'!A93</f>
        <v>Const. reinforce concreat open storm Drains at  Timber Market</v>
      </c>
      <c r="D93" s="139">
        <f>'[1]GRANT-FIELD'!C93</f>
        <v>690120</v>
      </c>
      <c r="E93" s="146"/>
      <c r="F93" s="140">
        <f t="shared" si="1"/>
        <v>57510</v>
      </c>
      <c r="G93" s="141">
        <f>'[1]GRANT-FIELD'!E93</f>
        <v>160575.28999999998</v>
      </c>
      <c r="H93" s="146"/>
      <c r="I93" s="142">
        <f>'[1]GRANT-FIELD'!R93</f>
        <v>160575.28999999998</v>
      </c>
    </row>
    <row r="94" spans="1:9" ht="18" x14ac:dyDescent="0.25">
      <c r="A94" s="117"/>
      <c r="B94" s="117"/>
      <c r="C94" s="143" t="str">
        <f>'[1]GRANT-FIELD'!A94</f>
        <v>Const. reinforce concreat open storm Drains at 1st star Junction</v>
      </c>
      <c r="D94" s="139">
        <f>'[1]GRANT-FIELD'!C94</f>
        <v>5700760</v>
      </c>
      <c r="E94" s="139"/>
      <c r="F94" s="140">
        <f t="shared" si="1"/>
        <v>475063.33333333331</v>
      </c>
      <c r="G94" s="141">
        <f>'[1]GRANT-FIELD'!E94</f>
        <v>0</v>
      </c>
      <c r="H94" s="141"/>
      <c r="I94" s="142">
        <f>'[1]GRANT-FIELD'!R94</f>
        <v>0</v>
      </c>
    </row>
    <row r="95" spans="1:9" ht="18" x14ac:dyDescent="0.25">
      <c r="A95" s="117"/>
      <c r="B95" s="117"/>
      <c r="C95" s="143" t="str">
        <f>'[1]GRANT-FIELD'!A95</f>
        <v>WIP: Precast Blook paving of Old premier Market and u drain-2020 GSCSP</v>
      </c>
      <c r="D95" s="139">
        <f>'[1]GRANT-FIELD'!C95</f>
        <v>409272.9</v>
      </c>
      <c r="E95" s="139"/>
      <c r="F95" s="140">
        <f t="shared" si="1"/>
        <v>34106.075000000004</v>
      </c>
      <c r="G95" s="141">
        <f>'[1]GRANT-FIELD'!E95</f>
        <v>0</v>
      </c>
      <c r="H95" s="141"/>
      <c r="I95" s="142">
        <f>'[1]GRANT-FIELD'!R95</f>
        <v>0</v>
      </c>
    </row>
    <row r="96" spans="1:9" ht="18" x14ac:dyDescent="0.25">
      <c r="A96" s="117"/>
      <c r="B96" s="117"/>
      <c r="C96" s="143" t="str">
        <f>'[1]GRANT-FIELD'!A96</f>
        <v>Bituminus surfacingof Joduro and O'Right raod</v>
      </c>
      <c r="D96" s="139">
        <f>'[1]GRANT-FIELD'!C96</f>
        <v>2418340</v>
      </c>
      <c r="E96" s="139"/>
      <c r="F96" s="140">
        <f t="shared" si="1"/>
        <v>201528.33333333334</v>
      </c>
      <c r="G96" s="141">
        <f>'[1]GRANT-FIELD'!E96</f>
        <v>312034.84000000003</v>
      </c>
      <c r="H96" s="141"/>
      <c r="I96" s="142">
        <f>'[1]GRANT-FIELD'!R96</f>
        <v>312034.84000000003</v>
      </c>
    </row>
    <row r="97" spans="1:9" ht="18" x14ac:dyDescent="0.25">
      <c r="A97" s="117"/>
      <c r="B97" s="117"/>
      <c r="C97" s="143" t="str">
        <f>'[1]GRANT-FIELD'!A97</f>
        <v>Bituminus surfacingof Aboabo Mustard ,pentocost street with road sign and marking</v>
      </c>
      <c r="D97" s="139">
        <f>'[1]GRANT-FIELD'!C97</f>
        <v>3154045</v>
      </c>
      <c r="E97" s="139"/>
      <c r="F97" s="140">
        <f t="shared" si="1"/>
        <v>262837.08333333331</v>
      </c>
      <c r="G97" s="141">
        <f>'[1]GRANT-FIELD'!E97</f>
        <v>298474.14</v>
      </c>
      <c r="H97" s="141"/>
      <c r="I97" s="142">
        <f>'[1]GRANT-FIELD'!R97</f>
        <v>0</v>
      </c>
    </row>
    <row r="98" spans="1:9" ht="18" x14ac:dyDescent="0.25">
      <c r="A98" s="117"/>
      <c r="B98" s="117"/>
      <c r="C98" s="143" t="str">
        <f>'[1]GRANT-FIELD'!A98</f>
        <v xml:space="preserve">Bituminus surfacing of ODA METHODIST </v>
      </c>
      <c r="D98" s="139">
        <f>'[1]GRANT-FIELD'!C98</f>
        <v>4768388</v>
      </c>
      <c r="E98" s="139"/>
      <c r="F98" s="140">
        <f t="shared" si="1"/>
        <v>397365.66666666669</v>
      </c>
      <c r="G98" s="141">
        <f>'[1]GRANT-FIELD'!E98</f>
        <v>2201569.46</v>
      </c>
      <c r="H98" s="141"/>
      <c r="I98" s="142">
        <f>'[1]GRANT-FIELD'!R98</f>
        <v>0</v>
      </c>
    </row>
    <row r="99" spans="1:9" ht="18" x14ac:dyDescent="0.25">
      <c r="A99" s="117"/>
      <c r="B99" s="117"/>
      <c r="C99" s="143" t="str">
        <f>'[1]GRANT-FIELD'!A99</f>
        <v xml:space="preserve">Contruction second seal of nkwantanum road </v>
      </c>
      <c r="D99" s="139">
        <f>'[1]GRANT-FIELD'!C99</f>
        <v>760000</v>
      </c>
      <c r="E99" s="139"/>
      <c r="F99" s="140">
        <f t="shared" si="1"/>
        <v>63333.333333333336</v>
      </c>
      <c r="G99" s="141">
        <f>'[1]GRANT-FIELD'!E99</f>
        <v>0</v>
      </c>
      <c r="H99" s="141"/>
      <c r="I99" s="142">
        <f>'[1]GRANT-FIELD'!R99</f>
        <v>0</v>
      </c>
    </row>
    <row r="100" spans="1:9" ht="22.5" x14ac:dyDescent="0.55000000000000004">
      <c r="A100" s="117"/>
      <c r="B100" s="117"/>
      <c r="C100" s="143" t="str">
        <f>'[1]GRANT-FIELD'!A100</f>
        <v>SUB-TOTAL</v>
      </c>
      <c r="D100" s="139">
        <f>'[1]GRANT-FIELD'!C100</f>
        <v>19500925.899999999</v>
      </c>
      <c r="E100" s="146"/>
      <c r="F100" s="140">
        <f t="shared" si="1"/>
        <v>1625077.1583333332</v>
      </c>
      <c r="G100" s="141">
        <f>'[1]GRANT-FIELD'!E100</f>
        <v>2972653.73</v>
      </c>
      <c r="H100" s="145"/>
      <c r="I100" s="142">
        <f>'[1]GRANT-FIELD'!R100</f>
        <v>472610.13</v>
      </c>
    </row>
    <row r="101" spans="1:9" ht="18" x14ac:dyDescent="0.25">
      <c r="A101" s="117"/>
      <c r="B101" s="117"/>
      <c r="C101" s="143" t="str">
        <f>'[1]GRANT-FIELD'!A101</f>
        <v>TOTAL</v>
      </c>
      <c r="D101" s="139">
        <f>'[1]GRANT-FIELD'!C101</f>
        <v>24717925.899999999</v>
      </c>
      <c r="E101" s="148"/>
      <c r="F101" s="140">
        <f t="shared" si="1"/>
        <v>2059827.1583333332</v>
      </c>
      <c r="G101" s="141">
        <f>'[1]GRANT-FIELD'!E101</f>
        <v>3024053.73</v>
      </c>
      <c r="H101" s="148"/>
      <c r="I101" s="142">
        <f>'[1]GRANT-FIELD'!R101</f>
        <v>846110.01</v>
      </c>
    </row>
    <row r="102" spans="1:9" ht="18" x14ac:dyDescent="0.25">
      <c r="A102" s="117"/>
      <c r="B102" s="117"/>
      <c r="C102" s="143" t="str">
        <f>'[1]GRANT-FIELD'!A102</f>
        <v>TOTAL GRANT EXPENDITURE</v>
      </c>
      <c r="D102" s="139">
        <f>'[1]GRANT-FIELD'!C102</f>
        <v>37577854.899999999</v>
      </c>
      <c r="E102" s="148"/>
      <c r="F102" s="140">
        <f t="shared" si="1"/>
        <v>3131487.9083333332</v>
      </c>
      <c r="G102" s="141">
        <f>'[1]GRANT-FIELD'!F102</f>
        <v>104831</v>
      </c>
      <c r="H102" s="148"/>
      <c r="I102" s="142">
        <f>'[1]GRANT-FIELD'!R102</f>
        <v>1221556.56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</vt:lpstr>
      <vt:lpstr>Exp</vt:lpstr>
      <vt:lpstr>Grant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2025-06-20T13:32:32Z</dcterms:created>
  <dcterms:modified xsi:type="dcterms:W3CDTF">2025-06-20T13:38:04Z</dcterms:modified>
</cp:coreProperties>
</file>