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937AC243-26AF-4E3C-AC12-61A0816F1265}" xr6:coauthVersionLast="47" xr6:coauthVersionMax="47" xr10:uidLastSave="{00000000-0000-0000-0000-000000000000}"/>
  <bookViews>
    <workbookView xWindow="-120" yWindow="-120" windowWidth="20730" windowHeight="11040" xr2:uid="{9CA672FA-D63C-4B5D-9D5A-AC261B748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" l="1"/>
  <c r="I34" i="1"/>
  <c r="C49" i="1"/>
  <c r="B45" i="1"/>
  <c r="B48" i="1"/>
  <c r="C48" i="1"/>
  <c r="D48" i="1"/>
  <c r="E48" i="1"/>
  <c r="E45" i="1"/>
  <c r="F45" i="1"/>
  <c r="D45" i="1"/>
  <c r="F47" i="1"/>
  <c r="F48" i="1" s="1"/>
  <c r="F41" i="1"/>
  <c r="C41" i="1"/>
  <c r="E41" i="1"/>
  <c r="D49" i="1"/>
  <c r="E49" i="1"/>
  <c r="F49" i="1"/>
  <c r="B49" i="1"/>
  <c r="C45" i="1"/>
  <c r="B41" i="1" l="1"/>
  <c r="D41" i="1"/>
</calcChain>
</file>

<file path=xl/sharedStrings.xml><?xml version="1.0" encoding="utf-8"?>
<sst xmlns="http://schemas.openxmlformats.org/spreadsheetml/2006/main" count="5" uniqueCount="5">
  <si>
    <t>cash book</t>
  </si>
  <si>
    <t>presented</t>
  </si>
  <si>
    <t>total debit</t>
  </si>
  <si>
    <t>upresented</t>
  </si>
  <si>
    <t>bal 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</si>
</sst>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43" fontId="0" fillId="0" borderId="0" xfId="0" applyNumberFormat="1"/>
    <xf numFmtId="43" fontId="0" fillId="0" borderId="1" xfId="0" applyNumberFormat="1" applyBorder="1"/>
    <xf numFmtId="0" fontId="2" fillId="0" borderId="0" xfId="0" applyFont="1"/>
    <xf numFmtId="4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05B9-845B-4158-8E3C-166C24EC3951}">
  <dimension ref="A1:I50"/>
  <sheetViews>
    <sheetView tabSelected="1" topLeftCell="A25" workbookViewId="0">
      <selection activeCell="H35" sqref="H35"/>
    </sheetView>
  </sheetViews>
  <sheetFormatPr defaultRowHeight="15" x14ac:dyDescent="0.25"/>
  <cols>
    <col min="1" max="1" width="15" customWidth="1"/>
    <col min="2" max="2" width="12.7109375" customWidth="1"/>
    <col min="3" max="3" width="13.28515625" customWidth="1"/>
    <col min="4" max="4" width="14" customWidth="1"/>
    <col min="5" max="5" width="10.7109375" customWidth="1"/>
    <col min="6" max="6" width="12.7109375" customWidth="1"/>
    <col min="9" max="9" width="11.5703125" bestFit="1" customWidth="1"/>
  </cols>
  <sheetData>
    <row r="1" spans="1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>
        <v>15240</v>
      </c>
      <c r="E2" s="4">
        <v>15240</v>
      </c>
    </row>
    <row r="3" spans="1:6" x14ac:dyDescent="0.25">
      <c r="A3" s="1">
        <v>5170.1000000000004</v>
      </c>
      <c r="C3" s="4">
        <v>5170.1000000000004</v>
      </c>
    </row>
    <row r="4" spans="1:6" x14ac:dyDescent="0.25">
      <c r="A4">
        <v>159.9</v>
      </c>
      <c r="C4" s="4">
        <v>159.9</v>
      </c>
    </row>
    <row r="5" spans="1:6" x14ac:dyDescent="0.25">
      <c r="A5">
        <v>20597.560000000001</v>
      </c>
      <c r="D5" s="4">
        <v>20597.560000000001</v>
      </c>
    </row>
    <row r="6" spans="1:6" x14ac:dyDescent="0.25">
      <c r="A6">
        <v>927</v>
      </c>
      <c r="D6" s="4">
        <v>927</v>
      </c>
    </row>
    <row r="7" spans="1:6" x14ac:dyDescent="0.25">
      <c r="A7">
        <v>2404.29</v>
      </c>
      <c r="D7" s="4">
        <v>2404.29</v>
      </c>
    </row>
    <row r="8" spans="1:6" x14ac:dyDescent="0.25">
      <c r="A8">
        <v>1087.6300000000001</v>
      </c>
      <c r="D8" s="4">
        <v>1087.6300000000001</v>
      </c>
    </row>
    <row r="9" spans="1:6" x14ac:dyDescent="0.25">
      <c r="A9">
        <v>103</v>
      </c>
      <c r="D9" s="4">
        <v>103</v>
      </c>
    </row>
    <row r="10" spans="1:6" x14ac:dyDescent="0.25">
      <c r="A10">
        <v>293.44</v>
      </c>
      <c r="D10" s="4">
        <v>293.44</v>
      </c>
    </row>
    <row r="11" spans="1:6" x14ac:dyDescent="0.25">
      <c r="A11">
        <v>3900</v>
      </c>
      <c r="D11" s="4">
        <v>3900</v>
      </c>
    </row>
    <row r="12" spans="1:6" x14ac:dyDescent="0.25">
      <c r="A12">
        <v>1840</v>
      </c>
      <c r="C12" s="4">
        <v>1840</v>
      </c>
    </row>
    <row r="13" spans="1:6" x14ac:dyDescent="0.25">
      <c r="A13">
        <v>254122.46</v>
      </c>
      <c r="F13">
        <v>254122.46</v>
      </c>
    </row>
    <row r="14" spans="1:6" x14ac:dyDescent="0.25">
      <c r="A14">
        <v>13374.87</v>
      </c>
      <c r="F14">
        <v>13374.87</v>
      </c>
    </row>
    <row r="15" spans="1:6" x14ac:dyDescent="0.25">
      <c r="A15">
        <v>12868.47</v>
      </c>
      <c r="D15" s="4">
        <v>12868.47</v>
      </c>
    </row>
    <row r="16" spans="1:6" x14ac:dyDescent="0.25">
      <c r="A16">
        <v>1429.83</v>
      </c>
      <c r="D16" s="4">
        <v>1429.83</v>
      </c>
    </row>
    <row r="17" spans="1:5" x14ac:dyDescent="0.25">
      <c r="A17">
        <v>1150</v>
      </c>
      <c r="C17" s="4">
        <v>1150</v>
      </c>
    </row>
    <row r="18" spans="1:5" x14ac:dyDescent="0.25">
      <c r="A18">
        <v>6545</v>
      </c>
      <c r="E18" s="4">
        <v>6545</v>
      </c>
    </row>
    <row r="19" spans="1:5" x14ac:dyDescent="0.25">
      <c r="A19">
        <v>1840</v>
      </c>
      <c r="D19" s="4">
        <v>1840</v>
      </c>
    </row>
    <row r="20" spans="1:5" x14ac:dyDescent="0.25">
      <c r="A20">
        <v>16500</v>
      </c>
      <c r="E20" s="4">
        <v>16500</v>
      </c>
    </row>
    <row r="21" spans="1:5" x14ac:dyDescent="0.25">
      <c r="A21">
        <v>1250</v>
      </c>
      <c r="C21" s="4">
        <v>1250</v>
      </c>
    </row>
    <row r="22" spans="1:5" x14ac:dyDescent="0.25">
      <c r="A22">
        <v>2130</v>
      </c>
      <c r="C22" s="4">
        <v>2130</v>
      </c>
    </row>
    <row r="23" spans="1:5" x14ac:dyDescent="0.25">
      <c r="A23">
        <v>1321</v>
      </c>
      <c r="D23" s="4">
        <v>1321</v>
      </c>
    </row>
    <row r="24" spans="1:5" x14ac:dyDescent="0.25">
      <c r="A24">
        <v>3900</v>
      </c>
      <c r="C24" s="4">
        <v>2425</v>
      </c>
    </row>
    <row r="25" spans="1:5" x14ac:dyDescent="0.25">
      <c r="A25">
        <v>2425</v>
      </c>
      <c r="C25" s="4">
        <v>75</v>
      </c>
    </row>
    <row r="26" spans="1:5" x14ac:dyDescent="0.25">
      <c r="A26">
        <v>75</v>
      </c>
      <c r="B26" s="4">
        <v>26999</v>
      </c>
    </row>
    <row r="27" spans="1:5" x14ac:dyDescent="0.25">
      <c r="A27">
        <v>26999</v>
      </c>
      <c r="B27" s="4">
        <v>2658.73</v>
      </c>
    </row>
    <row r="28" spans="1:5" x14ac:dyDescent="0.25">
      <c r="A28">
        <v>2658.73</v>
      </c>
      <c r="B28" s="4">
        <v>7025</v>
      </c>
    </row>
    <row r="29" spans="1:5" x14ac:dyDescent="0.25">
      <c r="A29">
        <v>7025</v>
      </c>
      <c r="C29" s="4">
        <v>2400</v>
      </c>
    </row>
    <row r="30" spans="1:5" x14ac:dyDescent="0.25">
      <c r="A30">
        <v>2400</v>
      </c>
      <c r="C30" s="4">
        <v>3200</v>
      </c>
    </row>
    <row r="31" spans="1:5" x14ac:dyDescent="0.25">
      <c r="A31">
        <v>3200</v>
      </c>
      <c r="C31" s="4">
        <v>4185</v>
      </c>
    </row>
    <row r="32" spans="1:5" x14ac:dyDescent="0.25">
      <c r="A32">
        <v>4185</v>
      </c>
      <c r="C32" s="4">
        <v>5000</v>
      </c>
    </row>
    <row r="33" spans="1:9" x14ac:dyDescent="0.25">
      <c r="A33">
        <v>5000</v>
      </c>
      <c r="D33" s="4">
        <v>3330</v>
      </c>
    </row>
    <row r="34" spans="1:9" x14ac:dyDescent="0.25">
      <c r="A34">
        <v>3330</v>
      </c>
      <c r="D34" s="4">
        <v>370</v>
      </c>
      <c r="I34" s="1">
        <f>B36+C33+D35+E35+F35</f>
        <v>0</v>
      </c>
    </row>
    <row r="35" spans="1:9" x14ac:dyDescent="0.25">
      <c r="A35">
        <v>370</v>
      </c>
      <c r="B35" s="4">
        <v>3900</v>
      </c>
    </row>
    <row r="36" spans="1:9" x14ac:dyDescent="0.25">
      <c r="A36" s="1">
        <v>84.91</v>
      </c>
      <c r="D36" s="4">
        <v>2295</v>
      </c>
    </row>
    <row r="37" spans="1:9" x14ac:dyDescent="0.25">
      <c r="A37">
        <v>1900</v>
      </c>
      <c r="F37" s="4">
        <v>43747</v>
      </c>
    </row>
    <row r="38" spans="1:9" x14ac:dyDescent="0.25">
      <c r="A38">
        <v>2295</v>
      </c>
      <c r="F38">
        <v>1353</v>
      </c>
    </row>
    <row r="39" spans="1:9" x14ac:dyDescent="0.25">
      <c r="A39">
        <v>43747</v>
      </c>
      <c r="E39" s="4">
        <v>78.91</v>
      </c>
      <c r="F39">
        <v>6</v>
      </c>
    </row>
    <row r="40" spans="1:9" x14ac:dyDescent="0.25">
      <c r="A40">
        <v>1353</v>
      </c>
      <c r="C40" s="4">
        <v>1900</v>
      </c>
      <c r="E40" s="4"/>
    </row>
    <row r="41" spans="1:9" x14ac:dyDescent="0.25">
      <c r="A41" s="1">
        <f>SUM(A2:A40)</f>
        <v>475202.18999999994</v>
      </c>
      <c r="B41" s="1">
        <f>SUM(B2:B38)</f>
        <v>40582.729999999996</v>
      </c>
      <c r="C41" s="1">
        <f>SUM(C2:C40)</f>
        <v>30885</v>
      </c>
      <c r="D41" s="1">
        <f>SUM(D2:D38)</f>
        <v>52767.22</v>
      </c>
      <c r="E41" s="1">
        <f>SUM(E2:E39)</f>
        <v>38363.910000000003</v>
      </c>
      <c r="F41" s="1">
        <f>SUM(F2:F39)</f>
        <v>312603.33</v>
      </c>
    </row>
    <row r="43" spans="1:9" ht="15.75" thickBot="1" x14ac:dyDescent="0.3">
      <c r="A43" t="s">
        <v>0</v>
      </c>
      <c r="B43" s="1">
        <v>40582.733</v>
      </c>
      <c r="C43" s="1">
        <v>30885</v>
      </c>
      <c r="D43" s="1">
        <v>52767.22</v>
      </c>
      <c r="E43" s="1">
        <v>38363.910000000003</v>
      </c>
      <c r="F43" s="5">
        <v>312603.31</v>
      </c>
    </row>
    <row r="44" spans="1:9" ht="15.75" thickTop="1" x14ac:dyDescent="0.25">
      <c r="A44" t="s">
        <v>1</v>
      </c>
      <c r="C44">
        <v>2792.41</v>
      </c>
      <c r="D44">
        <v>5926.38</v>
      </c>
    </row>
    <row r="45" spans="1:9" ht="15.75" thickBot="1" x14ac:dyDescent="0.3">
      <c r="B45" s="3">
        <f>SUM(B43:B44)</f>
        <v>40582.733</v>
      </c>
      <c r="C45" s="3">
        <f>SUM(C43:C44)</f>
        <v>33677.410000000003</v>
      </c>
      <c r="D45" s="3">
        <f>SUM(D43:D44)</f>
        <v>58693.599999999999</v>
      </c>
      <c r="E45" s="3">
        <f t="shared" ref="E45:F45" si="0">SUM(E43:E44)</f>
        <v>38363.910000000003</v>
      </c>
      <c r="F45" s="3">
        <f t="shared" si="0"/>
        <v>312603.31</v>
      </c>
    </row>
    <row r="46" spans="1:9" ht="15.75" thickTop="1" x14ac:dyDescent="0.25">
      <c r="A46" t="s">
        <v>2</v>
      </c>
      <c r="B46" s="1">
        <v>40582.730000000003</v>
      </c>
      <c r="C46">
        <v>33677.410000000003</v>
      </c>
      <c r="D46" s="1">
        <v>58693.599999999999</v>
      </c>
      <c r="E46">
        <v>38363.910000000003</v>
      </c>
      <c r="F46" s="1">
        <v>43753</v>
      </c>
    </row>
    <row r="47" spans="1:9" x14ac:dyDescent="0.25">
      <c r="A47" t="s">
        <v>3</v>
      </c>
      <c r="F47">
        <f>F38+F13+F14</f>
        <v>268850.33</v>
      </c>
    </row>
    <row r="48" spans="1:9" ht="15.75" thickBot="1" x14ac:dyDescent="0.3">
      <c r="B48" s="3">
        <f t="shared" ref="B48:E48" si="1">SUM(B46:B47)</f>
        <v>40582.730000000003</v>
      </c>
      <c r="C48" s="3">
        <f t="shared" si="1"/>
        <v>33677.410000000003</v>
      </c>
      <c r="D48" s="3">
        <f t="shared" si="1"/>
        <v>58693.599999999999</v>
      </c>
      <c r="E48" s="3">
        <f t="shared" si="1"/>
        <v>38363.910000000003</v>
      </c>
      <c r="F48" s="3">
        <f>SUM(F46:F47)</f>
        <v>312603.33</v>
      </c>
    </row>
    <row r="49" spans="1:6" ht="15.75" thickTop="1" x14ac:dyDescent="0.25">
      <c r="B49" s="2">
        <f>B43-B46</f>
        <v>2.9999999969732016E-3</v>
      </c>
      <c r="C49" s="2">
        <f>C43-C46</f>
        <v>-2792.4100000000035</v>
      </c>
      <c r="D49" s="2">
        <f t="shared" ref="D49:F49" si="2">D43-D46</f>
        <v>-5926.3799999999974</v>
      </c>
      <c r="E49" s="2">
        <f t="shared" si="2"/>
        <v>0</v>
      </c>
      <c r="F49" s="2">
        <f t="shared" si="2"/>
        <v>268850.31</v>
      </c>
    </row>
    <row r="50" spans="1:6" x14ac:dyDescent="0.25">
      <c r="A50" t="s">
        <v>4</v>
      </c>
      <c r="B50" s="1">
        <v>15523.18</v>
      </c>
      <c r="C50" s="1">
        <v>9797.85</v>
      </c>
      <c r="D50">
        <v>12592.04</v>
      </c>
      <c r="E50">
        <v>47034.44</v>
      </c>
      <c r="F50">
        <v>1287548.18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Afram Boadi Douglas</dc:creator>
  <cp:lastModifiedBy>Info</cp:lastModifiedBy>
  <dcterms:created xsi:type="dcterms:W3CDTF">2025-05-07T09:02:21Z</dcterms:created>
  <dcterms:modified xsi:type="dcterms:W3CDTF">2025-05-08T16:03:59Z</dcterms:modified>
</cp:coreProperties>
</file>